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" sheetId="1" r:id="rId4"/>
  </sheets>
  <definedNames/>
  <calcPr/>
</workbook>
</file>

<file path=xl/sharedStrings.xml><?xml version="1.0" encoding="utf-8"?>
<sst xmlns="http://schemas.openxmlformats.org/spreadsheetml/2006/main" count="56" uniqueCount="34">
  <si>
    <t>Costos de fertilización</t>
  </si>
  <si>
    <t>COSTO DE INSTALACIÓN PARA 10 HA</t>
  </si>
  <si>
    <t>Capacidad</t>
  </si>
  <si>
    <t>Cantidad de Piezas</t>
  </si>
  <si>
    <t>Concepto</t>
  </si>
  <si>
    <t>Precio Unitario</t>
  </si>
  <si>
    <t>Costo Total</t>
  </si>
  <si>
    <t>20 Lt</t>
  </si>
  <si>
    <t>Microorganismos Líquidos</t>
  </si>
  <si>
    <t>15 kg</t>
  </si>
  <si>
    <t>Salvadillo</t>
  </si>
  <si>
    <t>Melaza</t>
  </si>
  <si>
    <t>20 kg</t>
  </si>
  <si>
    <t>Leonardita</t>
  </si>
  <si>
    <t>4 kg</t>
  </si>
  <si>
    <t>Hidróxido de potasio</t>
  </si>
  <si>
    <t>15 Lt</t>
  </si>
  <si>
    <t>Minerales quelatados</t>
  </si>
  <si>
    <t>10 Lt</t>
  </si>
  <si>
    <t>Suprasuelo</t>
  </si>
  <si>
    <t>10 Kg</t>
  </si>
  <si>
    <t>Tierra de diatomeas</t>
  </si>
  <si>
    <t>200 Lt</t>
  </si>
  <si>
    <t>Tambo</t>
  </si>
  <si>
    <t>1000 Lt</t>
  </si>
  <si>
    <t>Contenedor</t>
  </si>
  <si>
    <t>Cubeta</t>
  </si>
  <si>
    <t>Total</t>
  </si>
  <si>
    <t>IVA</t>
  </si>
  <si>
    <t>SUMA TOTAL</t>
  </si>
  <si>
    <t xml:space="preserve">once the biofabrica is intalled this FIXED cost is depreciated for the life of the project. </t>
  </si>
  <si>
    <t>Proyección de gastos de fertilización bimestral</t>
  </si>
  <si>
    <t>Consumo bimestral</t>
  </si>
  <si>
    <t>this is a bimontly cost for 10 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</si>
</sst>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164" xfId="0" applyAlignment="1" applyBorder="1" applyFont="1" applyNumberFormat="1">
      <alignment horizontal="right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4.25"/>
    <col customWidth="1" min="4" max="4" width="36.25"/>
    <col customWidth="1" min="5" max="5" width="19.63"/>
    <col customWidth="1" min="6" max="6" width="23.63"/>
    <col customWidth="1" min="7" max="7" width="70.38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4" t="s">
        <v>1</v>
      </c>
      <c r="C3" s="5"/>
      <c r="D3" s="5"/>
      <c r="E3" s="5"/>
      <c r="F3" s="6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8"/>
      <c r="H4" s="1"/>
      <c r="I4" s="1"/>
      <c r="J4" s="1"/>
      <c r="K4" s="1"/>
      <c r="L4" s="1"/>
      <c r="M4" s="1"/>
      <c r="N4" s="1"/>
      <c r="O4" s="1"/>
      <c r="P4" s="1"/>
    </row>
    <row r="5">
      <c r="A5" s="1"/>
      <c r="B5" s="9" t="s">
        <v>7</v>
      </c>
      <c r="C5" s="9">
        <v>1.0</v>
      </c>
      <c r="D5" s="9" t="s">
        <v>8</v>
      </c>
      <c r="E5" s="10">
        <v>2000.16</v>
      </c>
      <c r="F5" s="10">
        <f t="shared" ref="F5:F6" si="1">E5*C5</f>
        <v>2000.16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>
      <c r="A6" s="1"/>
      <c r="B6" s="9" t="s">
        <v>9</v>
      </c>
      <c r="C6" s="9">
        <v>1.0</v>
      </c>
      <c r="D6" s="9" t="s">
        <v>10</v>
      </c>
      <c r="E6" s="10">
        <v>411.48</v>
      </c>
      <c r="F6" s="10">
        <f t="shared" si="1"/>
        <v>411.48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A7" s="1"/>
      <c r="B7" s="9"/>
      <c r="C7" s="9"/>
      <c r="D7" s="9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1"/>
      <c r="B8" s="9" t="s">
        <v>7</v>
      </c>
      <c r="C8" s="9">
        <v>3.0</v>
      </c>
      <c r="D8" s="9" t="s">
        <v>11</v>
      </c>
      <c r="E8" s="10">
        <v>324.0</v>
      </c>
      <c r="F8" s="10">
        <f t="shared" ref="F8:F16" si="2">E8*C8</f>
        <v>972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>
      <c r="A9" s="1"/>
      <c r="B9" s="9" t="s">
        <v>12</v>
      </c>
      <c r="C9" s="9">
        <v>3.0</v>
      </c>
      <c r="D9" s="9" t="s">
        <v>13</v>
      </c>
      <c r="E9" s="10">
        <v>1620.0</v>
      </c>
      <c r="F9" s="10">
        <f t="shared" si="2"/>
        <v>4860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>
      <c r="A10" s="1"/>
      <c r="B10" s="9" t="s">
        <v>14</v>
      </c>
      <c r="C10" s="9">
        <v>3.0</v>
      </c>
      <c r="D10" s="9" t="s">
        <v>15</v>
      </c>
      <c r="E10" s="10">
        <v>1296.0</v>
      </c>
      <c r="F10" s="10">
        <f t="shared" si="2"/>
        <v>3888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1"/>
      <c r="B11" s="9" t="s">
        <v>16</v>
      </c>
      <c r="C11" s="9">
        <v>3.0</v>
      </c>
      <c r="D11" s="9" t="s">
        <v>17</v>
      </c>
      <c r="E11" s="10">
        <v>2700.0</v>
      </c>
      <c r="F11" s="10">
        <f t="shared" si="2"/>
        <v>8100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>
      <c r="A12" s="1"/>
      <c r="B12" s="9" t="s">
        <v>18</v>
      </c>
      <c r="C12" s="9">
        <v>2.0</v>
      </c>
      <c r="D12" s="9" t="s">
        <v>19</v>
      </c>
      <c r="E12" s="10">
        <v>2160.0</v>
      </c>
      <c r="F12" s="10">
        <f t="shared" si="2"/>
        <v>4320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>
      <c r="A13" s="1"/>
      <c r="B13" s="9" t="s">
        <v>20</v>
      </c>
      <c r="C13" s="9">
        <v>2.0</v>
      </c>
      <c r="D13" s="9" t="s">
        <v>21</v>
      </c>
      <c r="E13" s="10">
        <v>756.0</v>
      </c>
      <c r="F13" s="10">
        <f t="shared" si="2"/>
        <v>1512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A14" s="1"/>
      <c r="B14" s="9" t="s">
        <v>22</v>
      </c>
      <c r="C14" s="9">
        <v>2.0</v>
      </c>
      <c r="D14" s="9" t="s">
        <v>23</v>
      </c>
      <c r="E14" s="10">
        <v>864.0</v>
      </c>
      <c r="F14" s="10">
        <f t="shared" si="2"/>
        <v>1728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1"/>
      <c r="B15" s="9" t="s">
        <v>24</v>
      </c>
      <c r="C15" s="9">
        <v>1.0</v>
      </c>
      <c r="D15" s="9" t="s">
        <v>25</v>
      </c>
      <c r="E15" s="10">
        <v>1900.8</v>
      </c>
      <c r="F15" s="10">
        <f t="shared" si="2"/>
        <v>1900.8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>
      <c r="A16" s="1"/>
      <c r="B16" s="9" t="s">
        <v>7</v>
      </c>
      <c r="C16" s="9">
        <v>2.0</v>
      </c>
      <c r="D16" s="9" t="s">
        <v>26</v>
      </c>
      <c r="E16" s="10">
        <v>108.0</v>
      </c>
      <c r="F16" s="10">
        <f t="shared" si="2"/>
        <v>216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>
      <c r="A17" s="1"/>
      <c r="B17" s="11"/>
      <c r="C17" s="12"/>
      <c r="D17" s="13"/>
      <c r="E17" s="7" t="s">
        <v>27</v>
      </c>
      <c r="F17" s="10">
        <f>SUM(F5:F16)</f>
        <v>29908.44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>
      <c r="A18" s="1"/>
      <c r="B18" s="14"/>
      <c r="C18" s="15"/>
      <c r="D18" s="16"/>
      <c r="E18" s="7" t="s">
        <v>28</v>
      </c>
      <c r="F18" s="10">
        <f>F17*0.16</f>
        <v>4785.3504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>
      <c r="A19" s="1"/>
      <c r="B19" s="14"/>
      <c r="C19" s="15"/>
      <c r="D19" s="16"/>
      <c r="E19" s="7" t="s">
        <v>29</v>
      </c>
      <c r="F19" s="10">
        <f>F17+F18</f>
        <v>34693.7904</v>
      </c>
      <c r="G19" s="17" t="s">
        <v>30</v>
      </c>
      <c r="H19" s="1"/>
      <c r="I19" s="1"/>
      <c r="J19" s="1"/>
      <c r="K19" s="1"/>
      <c r="L19" s="1"/>
      <c r="M19" s="1"/>
      <c r="N19" s="1"/>
      <c r="O19" s="1"/>
      <c r="P19" s="1"/>
    </row>
    <row r="20">
      <c r="A20" s="1"/>
      <c r="B20" s="18"/>
      <c r="C20" s="1"/>
      <c r="D20" s="1"/>
      <c r="E20" s="1"/>
      <c r="F20" s="1"/>
      <c r="G20" s="1"/>
      <c r="I20" s="1"/>
      <c r="J20" s="1"/>
      <c r="K20" s="1"/>
      <c r="L20" s="1"/>
      <c r="M20" s="1"/>
      <c r="N20" s="1"/>
      <c r="O20" s="1"/>
      <c r="P20" s="1"/>
    </row>
    <row r="21">
      <c r="A21" s="1"/>
      <c r="B21" s="19" t="s">
        <v>31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A22" s="1"/>
      <c r="B22" s="20" t="s">
        <v>32</v>
      </c>
      <c r="C22" s="21"/>
      <c r="D22" s="21"/>
      <c r="E22" s="21"/>
      <c r="F22" s="2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>
      <c r="A23" s="1"/>
      <c r="B23" s="7" t="s">
        <v>2</v>
      </c>
      <c r="C23" s="7" t="s">
        <v>3</v>
      </c>
      <c r="D23" s="7" t="s">
        <v>4</v>
      </c>
      <c r="E23" s="7" t="s">
        <v>5</v>
      </c>
      <c r="F23" s="7" t="s">
        <v>6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>
      <c r="A24" s="1"/>
      <c r="B24" s="9" t="s">
        <v>7</v>
      </c>
      <c r="C24" s="9">
        <v>3.0</v>
      </c>
      <c r="D24" s="9" t="s">
        <v>11</v>
      </c>
      <c r="E24" s="10">
        <v>324.0</v>
      </c>
      <c r="F24" s="10">
        <f t="shared" ref="F24:F29" si="3">E24*C24</f>
        <v>972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>
      <c r="A25" s="1"/>
      <c r="B25" s="9" t="s">
        <v>12</v>
      </c>
      <c r="C25" s="9">
        <v>3.0</v>
      </c>
      <c r="D25" s="9" t="s">
        <v>13</v>
      </c>
      <c r="E25" s="10">
        <v>1620.0</v>
      </c>
      <c r="F25" s="10">
        <f t="shared" si="3"/>
        <v>4860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>
      <c r="A26" s="1"/>
      <c r="B26" s="9" t="s">
        <v>14</v>
      </c>
      <c r="C26" s="9">
        <v>3.0</v>
      </c>
      <c r="D26" s="9" t="s">
        <v>15</v>
      </c>
      <c r="E26" s="10">
        <v>1296.0</v>
      </c>
      <c r="F26" s="10">
        <f t="shared" si="3"/>
        <v>3888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>
      <c r="A27" s="1"/>
      <c r="B27" s="9" t="s">
        <v>16</v>
      </c>
      <c r="C27" s="9">
        <v>3.0</v>
      </c>
      <c r="D27" s="9" t="s">
        <v>17</v>
      </c>
      <c r="E27" s="10">
        <v>2700.0</v>
      </c>
      <c r="F27" s="10">
        <f t="shared" si="3"/>
        <v>8100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>
      <c r="A28" s="1"/>
      <c r="B28" s="9" t="s">
        <v>18</v>
      </c>
      <c r="C28" s="9">
        <v>2.0</v>
      </c>
      <c r="D28" s="9" t="s">
        <v>19</v>
      </c>
      <c r="E28" s="10">
        <v>2160.0</v>
      </c>
      <c r="F28" s="10">
        <f t="shared" si="3"/>
        <v>4320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>
      <c r="A29" s="1"/>
      <c r="B29" s="9" t="s">
        <v>20</v>
      </c>
      <c r="C29" s="9">
        <v>2.0</v>
      </c>
      <c r="D29" s="9" t="s">
        <v>21</v>
      </c>
      <c r="E29" s="10">
        <v>756.0</v>
      </c>
      <c r="F29" s="10">
        <f t="shared" si="3"/>
        <v>1512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>
      <c r="A30" s="1"/>
      <c r="B30" s="11"/>
      <c r="C30" s="12"/>
      <c r="D30" s="13"/>
      <c r="E30" s="7" t="s">
        <v>27</v>
      </c>
      <c r="F30" s="10">
        <f>SUM(F24:F29)</f>
        <v>23652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>
      <c r="A31" s="1"/>
      <c r="B31" s="14"/>
      <c r="C31" s="15"/>
      <c r="D31" s="16"/>
      <c r="E31" s="7" t="s">
        <v>28</v>
      </c>
      <c r="F31" s="10">
        <f>F30*0.16</f>
        <v>3784.32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>
      <c r="A32" s="1"/>
      <c r="B32" s="14"/>
      <c r="C32" s="15"/>
      <c r="D32" s="16"/>
      <c r="E32" s="7" t="s">
        <v>29</v>
      </c>
      <c r="F32" s="10">
        <f>F30+F31</f>
        <v>27436.32</v>
      </c>
      <c r="G32" s="17" t="s">
        <v>33</v>
      </c>
      <c r="I32" s="1"/>
      <c r="J32" s="1"/>
      <c r="K32" s="1"/>
      <c r="L32" s="1"/>
      <c r="M32" s="1"/>
      <c r="N32" s="1"/>
      <c r="O32" s="1"/>
      <c r="P32" s="1"/>
    </row>
    <row r="33">
      <c r="A33" s="1"/>
      <c r="B33" s="1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>
      <c r="A298" s="1"/>
      <c r="B298" s="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>
      <c r="A299" s="1"/>
      <c r="B299" s="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>
      <c r="A300" s="1"/>
      <c r="B300" s="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>
      <c r="A301" s="1"/>
      <c r="B301" s="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>
      <c r="A302" s="1"/>
      <c r="B302" s="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>
      <c r="A303" s="1"/>
      <c r="B303" s="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>
      <c r="A304" s="1"/>
      <c r="B304" s="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>
      <c r="A305" s="1"/>
      <c r="B305" s="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>
      <c r="A306" s="1"/>
      <c r="B306" s="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>
      <c r="A307" s="1"/>
      <c r="B307" s="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>
      <c r="A308" s="1"/>
      <c r="B308" s="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>
      <c r="A309" s="1"/>
      <c r="B309" s="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>
      <c r="A310" s="1"/>
      <c r="B310" s="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>
      <c r="A311" s="1"/>
      <c r="B311" s="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>
      <c r="A312" s="1"/>
      <c r="B312" s="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>
      <c r="A313" s="1"/>
      <c r="B313" s="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>
      <c r="A314" s="1"/>
      <c r="B314" s="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>
      <c r="A315" s="1"/>
      <c r="B315" s="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>
      <c r="A316" s="1"/>
      <c r="B316" s="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>
      <c r="A317" s="1"/>
      <c r="B317" s="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>
      <c r="A318" s="1"/>
      <c r="B318" s="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>
      <c r="A319" s="1"/>
      <c r="B319" s="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>
      <c r="A320" s="1"/>
      <c r="B320" s="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>
      <c r="A321" s="1"/>
      <c r="B321" s="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>
      <c r="A322" s="1"/>
      <c r="B322" s="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>
      <c r="A323" s="1"/>
      <c r="B323" s="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>
      <c r="A324" s="1"/>
      <c r="B324" s="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>
      <c r="A325" s="1"/>
      <c r="B325" s="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>
      <c r="A326" s="1"/>
      <c r="B326" s="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>
      <c r="A327" s="1"/>
      <c r="B327" s="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>
      <c r="A328" s="1"/>
      <c r="B328" s="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>
      <c r="A329" s="1"/>
      <c r="B329" s="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>
      <c r="A330" s="1"/>
      <c r="B330" s="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>
      <c r="A331" s="1"/>
      <c r="B331" s="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>
      <c r="A332" s="1"/>
      <c r="B332" s="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>
      <c r="A333" s="1"/>
      <c r="B333" s="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>
      <c r="A334" s="1"/>
      <c r="B334" s="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>
      <c r="A335" s="1"/>
      <c r="B335" s="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>
      <c r="A336" s="1"/>
      <c r="B336" s="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>
      <c r="A337" s="1"/>
      <c r="B337" s="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>
      <c r="A338" s="1"/>
      <c r="B338" s="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>
      <c r="A339" s="1"/>
      <c r="B339" s="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>
      <c r="A340" s="1"/>
      <c r="B340" s="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>
      <c r="A341" s="1"/>
      <c r="B341" s="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>
      <c r="A342" s="1"/>
      <c r="B342" s="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>
      <c r="A343" s="1"/>
      <c r="B343" s="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>
      <c r="A344" s="1"/>
      <c r="B344" s="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>
      <c r="A345" s="1"/>
      <c r="B345" s="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>
      <c r="A346" s="1"/>
      <c r="B346" s="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>
      <c r="A347" s="1"/>
      <c r="B347" s="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>
      <c r="A348" s="1"/>
      <c r="B348" s="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>
      <c r="A349" s="1"/>
      <c r="B349" s="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>
      <c r="A350" s="1"/>
      <c r="B350" s="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>
      <c r="A351" s="1"/>
      <c r="B351" s="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>
      <c r="A352" s="1"/>
      <c r="B352" s="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>
      <c r="A353" s="1"/>
      <c r="B353" s="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>
      <c r="A354" s="1"/>
      <c r="B354" s="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>
      <c r="A355" s="1"/>
      <c r="B355" s="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>
      <c r="A356" s="1"/>
      <c r="B356" s="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>
      <c r="A357" s="1"/>
      <c r="B357" s="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>
      <c r="A358" s="1"/>
      <c r="B358" s="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>
      <c r="A359" s="1"/>
      <c r="B359" s="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>
      <c r="A360" s="1"/>
      <c r="B360" s="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>
      <c r="A361" s="1"/>
      <c r="B361" s="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>
      <c r="A362" s="1"/>
      <c r="B362" s="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>
      <c r="A363" s="1"/>
      <c r="B363" s="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>
      <c r="A364" s="1"/>
      <c r="B364" s="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>
      <c r="A365" s="1"/>
      <c r="B365" s="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>
      <c r="A366" s="1"/>
      <c r="B366" s="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>
      <c r="A367" s="1"/>
      <c r="B367" s="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>
      <c r="A368" s="1"/>
      <c r="B368" s="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>
      <c r="A369" s="1"/>
      <c r="B369" s="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>
      <c r="A370" s="1"/>
      <c r="B370" s="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>
      <c r="A371" s="1"/>
      <c r="B371" s="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>
      <c r="A372" s="1"/>
      <c r="B372" s="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>
      <c r="A373" s="1"/>
      <c r="B373" s="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>
      <c r="A374" s="1"/>
      <c r="B374" s="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>
      <c r="A375" s="1"/>
      <c r="B375" s="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>
      <c r="A376" s="1"/>
      <c r="B376" s="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>
      <c r="A377" s="1"/>
      <c r="B377" s="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>
      <c r="A378" s="1"/>
      <c r="B378" s="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>
      <c r="A379" s="1"/>
      <c r="B379" s="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>
      <c r="A380" s="1"/>
      <c r="B380" s="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>
      <c r="A381" s="1"/>
      <c r="B381" s="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>
      <c r="A382" s="1"/>
      <c r="B382" s="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>
      <c r="A383" s="1"/>
      <c r="B383" s="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>
      <c r="A384" s="1"/>
      <c r="B384" s="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>
      <c r="A385" s="1"/>
      <c r="B385" s="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>
      <c r="A386" s="1"/>
      <c r="B386" s="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>
      <c r="A387" s="1"/>
      <c r="B387" s="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>
      <c r="A388" s="1"/>
      <c r="B388" s="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>
      <c r="A389" s="1"/>
      <c r="B389" s="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>
      <c r="A390" s="1"/>
      <c r="B390" s="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>
      <c r="A391" s="1"/>
      <c r="B391" s="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>
      <c r="A392" s="1"/>
      <c r="B392" s="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>
      <c r="A393" s="1"/>
      <c r="B393" s="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>
      <c r="A394" s="1"/>
      <c r="B394" s="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>
      <c r="A395" s="1"/>
      <c r="B395" s="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>
      <c r="A396" s="1"/>
      <c r="B396" s="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>
      <c r="A397" s="1"/>
      <c r="B397" s="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>
      <c r="A398" s="1"/>
      <c r="B398" s="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>
      <c r="A399" s="1"/>
      <c r="B399" s="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>
      <c r="A400" s="1"/>
      <c r="B400" s="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>
      <c r="A401" s="1"/>
      <c r="B401" s="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>
      <c r="A402" s="1"/>
      <c r="B402" s="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>
      <c r="A403" s="1"/>
      <c r="B403" s="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>
      <c r="A404" s="1"/>
      <c r="B404" s="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>
      <c r="A405" s="1"/>
      <c r="B405" s="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>
      <c r="A406" s="1"/>
      <c r="B406" s="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>
      <c r="A407" s="1"/>
      <c r="B407" s="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>
      <c r="A408" s="1"/>
      <c r="B408" s="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>
      <c r="A409" s="1"/>
      <c r="B409" s="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>
      <c r="A410" s="1"/>
      <c r="B410" s="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>
      <c r="A411" s="1"/>
      <c r="B411" s="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>
      <c r="A412" s="1"/>
      <c r="B412" s="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>
      <c r="A413" s="1"/>
      <c r="B413" s="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>
      <c r="A414" s="1"/>
      <c r="B414" s="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>
      <c r="A415" s="1"/>
      <c r="B415" s="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>
      <c r="A416" s="1"/>
      <c r="B416" s="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>
      <c r="A417" s="1"/>
      <c r="B417" s="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>
      <c r="A418" s="1"/>
      <c r="B418" s="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>
      <c r="A419" s="1"/>
      <c r="B419" s="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>
      <c r="A420" s="1"/>
      <c r="B420" s="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>
      <c r="A421" s="1"/>
      <c r="B421" s="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>
      <c r="A422" s="1"/>
      <c r="B422" s="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>
      <c r="A423" s="1"/>
      <c r="B423" s="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>
      <c r="A424" s="1"/>
      <c r="B424" s="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>
      <c r="A425" s="1"/>
      <c r="B425" s="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>
      <c r="A426" s="1"/>
      <c r="B426" s="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>
      <c r="A427" s="1"/>
      <c r="B427" s="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>
      <c r="A428" s="1"/>
      <c r="B428" s="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>
      <c r="A429" s="1"/>
      <c r="B429" s="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>
      <c r="A430" s="1"/>
      <c r="B430" s="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>
      <c r="A431" s="1"/>
      <c r="B431" s="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>
      <c r="A432" s="1"/>
      <c r="B432" s="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>
      <c r="A433" s="1"/>
      <c r="B433" s="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>
      <c r="A434" s="1"/>
      <c r="B434" s="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>
      <c r="A435" s="1"/>
      <c r="B435" s="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>
      <c r="A436" s="1"/>
      <c r="B436" s="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>
      <c r="A437" s="1"/>
      <c r="B437" s="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>
      <c r="A438" s="1"/>
      <c r="B438" s="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>
      <c r="A439" s="1"/>
      <c r="B439" s="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>
      <c r="A440" s="1"/>
      <c r="B440" s="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>
      <c r="A441" s="1"/>
      <c r="B441" s="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>
      <c r="A442" s="1"/>
      <c r="B442" s="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>
      <c r="A443" s="1"/>
      <c r="B443" s="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>
      <c r="A444" s="1"/>
      <c r="B444" s="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>
      <c r="A445" s="1"/>
      <c r="B445" s="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>
      <c r="A446" s="1"/>
      <c r="B446" s="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>
      <c r="A447" s="1"/>
      <c r="B447" s="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>
      <c r="A448" s="1"/>
      <c r="B448" s="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>
      <c r="A449" s="1"/>
      <c r="B449" s="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>
      <c r="A450" s="1"/>
      <c r="B450" s="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>
      <c r="A451" s="1"/>
      <c r="B451" s="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>
      <c r="A452" s="1"/>
      <c r="B452" s="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>
      <c r="A453" s="1"/>
      <c r="B453" s="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>
      <c r="A454" s="1"/>
      <c r="B454" s="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>
      <c r="A455" s="1"/>
      <c r="B455" s="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>
      <c r="A456" s="1"/>
      <c r="B456" s="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>
      <c r="A457" s="1"/>
      <c r="B457" s="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>
      <c r="A458" s="1"/>
      <c r="B458" s="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>
      <c r="A459" s="1"/>
      <c r="B459" s="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>
      <c r="A460" s="1"/>
      <c r="B460" s="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>
      <c r="A461" s="1"/>
      <c r="B461" s="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>
      <c r="A462" s="1"/>
      <c r="B462" s="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>
      <c r="A463" s="1"/>
      <c r="B463" s="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>
      <c r="A464" s="1"/>
      <c r="B464" s="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>
      <c r="A465" s="1"/>
      <c r="B465" s="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>
      <c r="A466" s="1"/>
      <c r="B466" s="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>
      <c r="A467" s="1"/>
      <c r="B467" s="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>
      <c r="A468" s="1"/>
      <c r="B468" s="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>
      <c r="A469" s="1"/>
      <c r="B469" s="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>
      <c r="A470" s="1"/>
      <c r="B470" s="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>
      <c r="A471" s="1"/>
      <c r="B471" s="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>
      <c r="A472" s="1"/>
      <c r="B472" s="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>
      <c r="A473" s="1"/>
      <c r="B473" s="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>
      <c r="A474" s="1"/>
      <c r="B474" s="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>
      <c r="A475" s="1"/>
      <c r="B475" s="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>
      <c r="A476" s="1"/>
      <c r="B476" s="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>
      <c r="A477" s="1"/>
      <c r="B477" s="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>
      <c r="A478" s="1"/>
      <c r="B478" s="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>
      <c r="A479" s="1"/>
      <c r="B479" s="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>
      <c r="A480" s="1"/>
      <c r="B480" s="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>
      <c r="A481" s="1"/>
      <c r="B481" s="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>
      <c r="A482" s="1"/>
      <c r="B482" s="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>
      <c r="A483" s="1"/>
      <c r="B483" s="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>
      <c r="A484" s="1"/>
      <c r="B484" s="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>
      <c r="A485" s="1"/>
      <c r="B485" s="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>
      <c r="A486" s="1"/>
      <c r="B486" s="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>
      <c r="A487" s="1"/>
      <c r="B487" s="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>
      <c r="A488" s="1"/>
      <c r="B488" s="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>
      <c r="A489" s="1"/>
      <c r="B489" s="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>
      <c r="A490" s="1"/>
      <c r="B490" s="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>
      <c r="A491" s="1"/>
      <c r="B491" s="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>
      <c r="A492" s="1"/>
      <c r="B492" s="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>
      <c r="A493" s="1"/>
      <c r="B493" s="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>
      <c r="A494" s="1"/>
      <c r="B494" s="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>
      <c r="A495" s="1"/>
      <c r="B495" s="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>
      <c r="A496" s="1"/>
      <c r="B496" s="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>
      <c r="A497" s="1"/>
      <c r="B497" s="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>
      <c r="A498" s="1"/>
      <c r="B498" s="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>
      <c r="A499" s="1"/>
      <c r="B499" s="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>
      <c r="A500" s="1"/>
      <c r="B500" s="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>
      <c r="A501" s="1"/>
      <c r="B501" s="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>
      <c r="A502" s="1"/>
      <c r="B502" s="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>
      <c r="A503" s="1"/>
      <c r="B503" s="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>
      <c r="A504" s="1"/>
      <c r="B504" s="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>
      <c r="A505" s="1"/>
      <c r="B505" s="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>
      <c r="A506" s="1"/>
      <c r="B506" s="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>
      <c r="A507" s="1"/>
      <c r="B507" s="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>
      <c r="A508" s="1"/>
      <c r="B508" s="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>
      <c r="A509" s="1"/>
      <c r="B509" s="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>
      <c r="A510" s="1"/>
      <c r="B510" s="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>
      <c r="A511" s="1"/>
      <c r="B511" s="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>
      <c r="A512" s="1"/>
      <c r="B512" s="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>
      <c r="A513" s="1"/>
      <c r="B513" s="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>
      <c r="A514" s="1"/>
      <c r="B514" s="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>
      <c r="A515" s="1"/>
      <c r="B515" s="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>
      <c r="A516" s="1"/>
      <c r="B516" s="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>
      <c r="A517" s="1"/>
      <c r="B517" s="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>
      <c r="A518" s="1"/>
      <c r="B518" s="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>
      <c r="A519" s="1"/>
      <c r="B519" s="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>
      <c r="A520" s="1"/>
      <c r="B520" s="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>
      <c r="A521" s="1"/>
      <c r="B521" s="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>
      <c r="A522" s="1"/>
      <c r="B522" s="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>
      <c r="A523" s="1"/>
      <c r="B523" s="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>
      <c r="A524" s="1"/>
      <c r="B524" s="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>
      <c r="A525" s="1"/>
      <c r="B525" s="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>
      <c r="A526" s="1"/>
      <c r="B526" s="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>
      <c r="A527" s="1"/>
      <c r="B527" s="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>
      <c r="A528" s="1"/>
      <c r="B528" s="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>
      <c r="A529" s="1"/>
      <c r="B529" s="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>
      <c r="A530" s="1"/>
      <c r="B530" s="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>
      <c r="A531" s="1"/>
      <c r="B531" s="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>
      <c r="A532" s="1"/>
      <c r="B532" s="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>
      <c r="A533" s="1"/>
      <c r="B533" s="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>
      <c r="A534" s="1"/>
      <c r="B534" s="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>
      <c r="A535" s="1"/>
      <c r="B535" s="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>
      <c r="A536" s="1"/>
      <c r="B536" s="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>
      <c r="A537" s="1"/>
      <c r="B537" s="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>
      <c r="A538" s="1"/>
      <c r="B538" s="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>
      <c r="A539" s="1"/>
      <c r="B539" s="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>
      <c r="A540" s="1"/>
      <c r="B540" s="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>
      <c r="A541" s="1"/>
      <c r="B541" s="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>
      <c r="A542" s="1"/>
      <c r="B542" s="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>
      <c r="A543" s="1"/>
      <c r="B543" s="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>
      <c r="A544" s="1"/>
      <c r="B544" s="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>
      <c r="A545" s="1"/>
      <c r="B545" s="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>
      <c r="A546" s="1"/>
      <c r="B546" s="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>
      <c r="A547" s="1"/>
      <c r="B547" s="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>
      <c r="A548" s="1"/>
      <c r="B548" s="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>
      <c r="A549" s="1"/>
      <c r="B549" s="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>
      <c r="A550" s="1"/>
      <c r="B550" s="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>
      <c r="A551" s="1"/>
      <c r="B551" s="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>
      <c r="A552" s="1"/>
      <c r="B552" s="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>
      <c r="A553" s="1"/>
      <c r="B553" s="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>
      <c r="A554" s="1"/>
      <c r="B554" s="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>
      <c r="A555" s="1"/>
      <c r="B555" s="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>
      <c r="A556" s="1"/>
      <c r="B556" s="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>
      <c r="A557" s="1"/>
      <c r="B557" s="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>
      <c r="A558" s="1"/>
      <c r="B558" s="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>
      <c r="A559" s="1"/>
      <c r="B559" s="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>
      <c r="A560" s="1"/>
      <c r="B560" s="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>
      <c r="A561" s="1"/>
      <c r="B561" s="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>
      <c r="A562" s="1"/>
      <c r="B562" s="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>
      <c r="A563" s="1"/>
      <c r="B563" s="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>
      <c r="A564" s="1"/>
      <c r="B564" s="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>
      <c r="A565" s="1"/>
      <c r="B565" s="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>
      <c r="A566" s="1"/>
      <c r="B566" s="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>
      <c r="A567" s="1"/>
      <c r="B567" s="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>
      <c r="A568" s="1"/>
      <c r="B568" s="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>
      <c r="A569" s="1"/>
      <c r="B569" s="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>
      <c r="A570" s="1"/>
      <c r="B570" s="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>
      <c r="A571" s="1"/>
      <c r="B571" s="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>
      <c r="A572" s="1"/>
      <c r="B572" s="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>
      <c r="A573" s="1"/>
      <c r="B573" s="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>
      <c r="A574" s="1"/>
      <c r="B574" s="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>
      <c r="A575" s="1"/>
      <c r="B575" s="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>
      <c r="A576" s="1"/>
      <c r="B576" s="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>
      <c r="A577" s="1"/>
      <c r="B577" s="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>
      <c r="A578" s="1"/>
      <c r="B578" s="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>
      <c r="A579" s="1"/>
      <c r="B579" s="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>
      <c r="A580" s="1"/>
      <c r="B580" s="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>
      <c r="A581" s="1"/>
      <c r="B581" s="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>
      <c r="A582" s="1"/>
      <c r="B582" s="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>
      <c r="A583" s="1"/>
      <c r="B583" s="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>
      <c r="A584" s="1"/>
      <c r="B584" s="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>
      <c r="A585" s="1"/>
      <c r="B585" s="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>
      <c r="A586" s="1"/>
      <c r="B586" s="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>
      <c r="A587" s="1"/>
      <c r="B587" s="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>
      <c r="A588" s="1"/>
      <c r="B588" s="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>
      <c r="A589" s="1"/>
      <c r="B589" s="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>
      <c r="A590" s="1"/>
      <c r="B590" s="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>
      <c r="A591" s="1"/>
      <c r="B591" s="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>
      <c r="A592" s="1"/>
      <c r="B592" s="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>
      <c r="A593" s="1"/>
      <c r="B593" s="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>
      <c r="A594" s="1"/>
      <c r="B594" s="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>
      <c r="A595" s="1"/>
      <c r="B595" s="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>
      <c r="A596" s="1"/>
      <c r="B596" s="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>
      <c r="A597" s="1"/>
      <c r="B597" s="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>
      <c r="A598" s="1"/>
      <c r="B598" s="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>
      <c r="A599" s="1"/>
      <c r="B599" s="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>
      <c r="A600" s="1"/>
      <c r="B600" s="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>
      <c r="A601" s="1"/>
      <c r="B601" s="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>
      <c r="A602" s="1"/>
      <c r="B602" s="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>
      <c r="A603" s="1"/>
      <c r="B603" s="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>
      <c r="A604" s="1"/>
      <c r="B604" s="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>
      <c r="A605" s="1"/>
      <c r="B605" s="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>
      <c r="A606" s="1"/>
      <c r="B606" s="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>
      <c r="A607" s="1"/>
      <c r="B607" s="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>
      <c r="A608" s="1"/>
      <c r="B608" s="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>
      <c r="A609" s="1"/>
      <c r="B609" s="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>
      <c r="A610" s="1"/>
      <c r="B610" s="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>
      <c r="A611" s="1"/>
      <c r="B611" s="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>
      <c r="A612" s="1"/>
      <c r="B612" s="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>
      <c r="A613" s="1"/>
      <c r="B613" s="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>
      <c r="A614" s="1"/>
      <c r="B614" s="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>
      <c r="A615" s="1"/>
      <c r="B615" s="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>
      <c r="A616" s="1"/>
      <c r="B616" s="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>
      <c r="A617" s="1"/>
      <c r="B617" s="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>
      <c r="A618" s="1"/>
      <c r="B618" s="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>
      <c r="A619" s="1"/>
      <c r="B619" s="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>
      <c r="A620" s="1"/>
      <c r="B620" s="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>
      <c r="A621" s="1"/>
      <c r="B621" s="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>
      <c r="A622" s="1"/>
      <c r="B622" s="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>
      <c r="A623" s="1"/>
      <c r="B623" s="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>
      <c r="A624" s="1"/>
      <c r="B624" s="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>
      <c r="A625" s="1"/>
      <c r="B625" s="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>
      <c r="A626" s="1"/>
      <c r="B626" s="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>
      <c r="A627" s="1"/>
      <c r="B627" s="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>
      <c r="A628" s="1"/>
      <c r="B628" s="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>
      <c r="A629" s="1"/>
      <c r="B629" s="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>
      <c r="A630" s="1"/>
      <c r="B630" s="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>
      <c r="A631" s="1"/>
      <c r="B631" s="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>
      <c r="A632" s="1"/>
      <c r="B632" s="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>
      <c r="A633" s="1"/>
      <c r="B633" s="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>
      <c r="A634" s="1"/>
      <c r="B634" s="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>
      <c r="A635" s="1"/>
      <c r="B635" s="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>
      <c r="A636" s="1"/>
      <c r="B636" s="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>
      <c r="A637" s="1"/>
      <c r="B637" s="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>
      <c r="A638" s="1"/>
      <c r="B638" s="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>
      <c r="A639" s="1"/>
      <c r="B639" s="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>
      <c r="A640" s="1"/>
      <c r="B640" s="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>
      <c r="A641" s="1"/>
      <c r="B641" s="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>
      <c r="A642" s="1"/>
      <c r="B642" s="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>
      <c r="A643" s="1"/>
      <c r="B643" s="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>
      <c r="A644" s="1"/>
      <c r="B644" s="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>
      <c r="A645" s="1"/>
      <c r="B645" s="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>
      <c r="A646" s="1"/>
      <c r="B646" s="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>
      <c r="A647" s="1"/>
      <c r="B647" s="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>
      <c r="A648" s="1"/>
      <c r="B648" s="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>
      <c r="A649" s="1"/>
      <c r="B649" s="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>
      <c r="A650" s="1"/>
      <c r="B650" s="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>
      <c r="A651" s="1"/>
      <c r="B651" s="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>
      <c r="A652" s="1"/>
      <c r="B652" s="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>
      <c r="A653" s="1"/>
      <c r="B653" s="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>
      <c r="A654" s="1"/>
      <c r="B654" s="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>
      <c r="A655" s="1"/>
      <c r="B655" s="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>
      <c r="A656" s="1"/>
      <c r="B656" s="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>
      <c r="A657" s="1"/>
      <c r="B657" s="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>
      <c r="A658" s="1"/>
      <c r="B658" s="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>
      <c r="A659" s="1"/>
      <c r="B659" s="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>
      <c r="A660" s="1"/>
      <c r="B660" s="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>
      <c r="A661" s="1"/>
      <c r="B661" s="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>
      <c r="A662" s="1"/>
      <c r="B662" s="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>
      <c r="A663" s="1"/>
      <c r="B663" s="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>
      <c r="A664" s="1"/>
      <c r="B664" s="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>
      <c r="A665" s="1"/>
      <c r="B665" s="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>
      <c r="A666" s="1"/>
      <c r="B666" s="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>
      <c r="A667" s="1"/>
      <c r="B667" s="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>
      <c r="A668" s="1"/>
      <c r="B668" s="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>
      <c r="A669" s="1"/>
      <c r="B669" s="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>
      <c r="A670" s="1"/>
      <c r="B670" s="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>
      <c r="A671" s="1"/>
      <c r="B671" s="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>
      <c r="A672" s="1"/>
      <c r="B672" s="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>
      <c r="A673" s="1"/>
      <c r="B673" s="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>
      <c r="A674" s="1"/>
      <c r="B674" s="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>
      <c r="A675" s="1"/>
      <c r="B675" s="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>
      <c r="A676" s="1"/>
      <c r="B676" s="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>
      <c r="A677" s="1"/>
      <c r="B677" s="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>
      <c r="A678" s="1"/>
      <c r="B678" s="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>
      <c r="A679" s="1"/>
      <c r="B679" s="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>
      <c r="A680" s="1"/>
      <c r="B680" s="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>
      <c r="A681" s="1"/>
      <c r="B681" s="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>
      <c r="A682" s="1"/>
      <c r="B682" s="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>
      <c r="A683" s="1"/>
      <c r="B683" s="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>
      <c r="A684" s="1"/>
      <c r="B684" s="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>
      <c r="A685" s="1"/>
      <c r="B685" s="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>
      <c r="A686" s="1"/>
      <c r="B686" s="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>
      <c r="A687" s="1"/>
      <c r="B687" s="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>
      <c r="A688" s="1"/>
      <c r="B688" s="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>
      <c r="A689" s="1"/>
      <c r="B689" s="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>
      <c r="A690" s="1"/>
      <c r="B690" s="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>
      <c r="A691" s="1"/>
      <c r="B691" s="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>
      <c r="A692" s="1"/>
      <c r="B692" s="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>
      <c r="A693" s="1"/>
      <c r="B693" s="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>
      <c r="A694" s="1"/>
      <c r="B694" s="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>
      <c r="A695" s="1"/>
      <c r="B695" s="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>
      <c r="A696" s="1"/>
      <c r="B696" s="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>
      <c r="A697" s="1"/>
      <c r="B697" s="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>
      <c r="A698" s="1"/>
      <c r="B698" s="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>
      <c r="A699" s="1"/>
      <c r="B699" s="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>
      <c r="A700" s="1"/>
      <c r="B700" s="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>
      <c r="A701" s="1"/>
      <c r="B701" s="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>
      <c r="A702" s="1"/>
      <c r="B702" s="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>
      <c r="A703" s="1"/>
      <c r="B703" s="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>
      <c r="A704" s="1"/>
      <c r="B704" s="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>
      <c r="A705" s="1"/>
      <c r="B705" s="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>
      <c r="A706" s="1"/>
      <c r="B706" s="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>
      <c r="A707" s="1"/>
      <c r="B707" s="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>
      <c r="A708" s="1"/>
      <c r="B708" s="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>
      <c r="A709" s="1"/>
      <c r="B709" s="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>
      <c r="A710" s="1"/>
      <c r="B710" s="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>
      <c r="A711" s="1"/>
      <c r="B711" s="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>
      <c r="A712" s="1"/>
      <c r="B712" s="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>
      <c r="A713" s="1"/>
      <c r="B713" s="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>
      <c r="A714" s="1"/>
      <c r="B714" s="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>
      <c r="A715" s="1"/>
      <c r="B715" s="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>
      <c r="A716" s="1"/>
      <c r="B716" s="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>
      <c r="A717" s="1"/>
      <c r="B717" s="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>
      <c r="A718" s="1"/>
      <c r="B718" s="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>
      <c r="A719" s="1"/>
      <c r="B719" s="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>
      <c r="A720" s="1"/>
      <c r="B720" s="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>
      <c r="A721" s="1"/>
      <c r="B721" s="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>
      <c r="A722" s="1"/>
      <c r="B722" s="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>
      <c r="A723" s="1"/>
      <c r="B723" s="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>
      <c r="A724" s="1"/>
      <c r="B724" s="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>
      <c r="A725" s="1"/>
      <c r="B725" s="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>
      <c r="A726" s="1"/>
      <c r="B726" s="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>
      <c r="A727" s="1"/>
      <c r="B727" s="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>
      <c r="A728" s="1"/>
      <c r="B728" s="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>
      <c r="A729" s="1"/>
      <c r="B729" s="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>
      <c r="A730" s="1"/>
      <c r="B730" s="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>
      <c r="A731" s="1"/>
      <c r="B731" s="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>
      <c r="A732" s="1"/>
      <c r="B732" s="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>
      <c r="A733" s="1"/>
      <c r="B733" s="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>
      <c r="A734" s="1"/>
      <c r="B734" s="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>
      <c r="A735" s="1"/>
      <c r="B735" s="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>
      <c r="A736" s="1"/>
      <c r="B736" s="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>
      <c r="A737" s="1"/>
      <c r="B737" s="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>
      <c r="A738" s="1"/>
      <c r="B738" s="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>
      <c r="A739" s="1"/>
      <c r="B739" s="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>
      <c r="A740" s="1"/>
      <c r="B740" s="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>
      <c r="A741" s="1"/>
      <c r="B741" s="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>
      <c r="A742" s="1"/>
      <c r="B742" s="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>
      <c r="A743" s="1"/>
      <c r="B743" s="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>
      <c r="A744" s="1"/>
      <c r="B744" s="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>
      <c r="A745" s="1"/>
      <c r="B745" s="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>
      <c r="A746" s="1"/>
      <c r="B746" s="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>
      <c r="A747" s="1"/>
      <c r="B747" s="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>
      <c r="A748" s="1"/>
      <c r="B748" s="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>
      <c r="A749" s="1"/>
      <c r="B749" s="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>
      <c r="A750" s="1"/>
      <c r="B750" s="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>
      <c r="A751" s="1"/>
      <c r="B751" s="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>
      <c r="A752" s="1"/>
      <c r="B752" s="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>
      <c r="A753" s="1"/>
      <c r="B753" s="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>
      <c r="A754" s="1"/>
      <c r="B754" s="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>
      <c r="A755" s="1"/>
      <c r="B755" s="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>
      <c r="A756" s="1"/>
      <c r="B756" s="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>
      <c r="A757" s="1"/>
      <c r="B757" s="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>
      <c r="A758" s="1"/>
      <c r="B758" s="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>
      <c r="A759" s="1"/>
      <c r="B759" s="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>
      <c r="A760" s="1"/>
      <c r="B760" s="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>
      <c r="A761" s="1"/>
      <c r="B761" s="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>
      <c r="A762" s="1"/>
      <c r="B762" s="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>
      <c r="A763" s="1"/>
      <c r="B763" s="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>
      <c r="A764" s="1"/>
      <c r="B764" s="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>
      <c r="A765" s="1"/>
      <c r="B765" s="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>
      <c r="A766" s="1"/>
      <c r="B766" s="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>
      <c r="A767" s="1"/>
      <c r="B767" s="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>
      <c r="A768" s="1"/>
      <c r="B768" s="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>
      <c r="A769" s="1"/>
      <c r="B769" s="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>
      <c r="A770" s="1"/>
      <c r="B770" s="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>
      <c r="A771" s="1"/>
      <c r="B771" s="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>
      <c r="A772" s="1"/>
      <c r="B772" s="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>
      <c r="A773" s="1"/>
      <c r="B773" s="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>
      <c r="A774" s="1"/>
      <c r="B774" s="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>
      <c r="A775" s="1"/>
      <c r="B775" s="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>
      <c r="A776" s="1"/>
      <c r="B776" s="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>
      <c r="A777" s="1"/>
      <c r="B777" s="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>
      <c r="A778" s="1"/>
      <c r="B778" s="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>
      <c r="A779" s="1"/>
      <c r="B779" s="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>
      <c r="A780" s="1"/>
      <c r="B780" s="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>
      <c r="A781" s="1"/>
      <c r="B781" s="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>
      <c r="A782" s="1"/>
      <c r="B782" s="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>
      <c r="A783" s="1"/>
      <c r="B783" s="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>
      <c r="A784" s="1"/>
      <c r="B784" s="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>
      <c r="A785" s="1"/>
      <c r="B785" s="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>
      <c r="A786" s="1"/>
      <c r="B786" s="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>
      <c r="A787" s="1"/>
      <c r="B787" s="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>
      <c r="A788" s="1"/>
      <c r="B788" s="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>
      <c r="A789" s="1"/>
      <c r="B789" s="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>
      <c r="A790" s="1"/>
      <c r="B790" s="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>
      <c r="A791" s="1"/>
      <c r="B791" s="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>
      <c r="A792" s="1"/>
      <c r="B792" s="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>
      <c r="A793" s="1"/>
      <c r="B793" s="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>
      <c r="A794" s="1"/>
      <c r="B794" s="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>
      <c r="A795" s="1"/>
      <c r="B795" s="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>
      <c r="A796" s="1"/>
      <c r="B796" s="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>
      <c r="A797" s="1"/>
      <c r="B797" s="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>
      <c r="A798" s="1"/>
      <c r="B798" s="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>
      <c r="A799" s="1"/>
      <c r="B799" s="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>
      <c r="A800" s="1"/>
      <c r="B800" s="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>
      <c r="A801" s="1"/>
      <c r="B801" s="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>
      <c r="A802" s="1"/>
      <c r="B802" s="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>
      <c r="A803" s="1"/>
      <c r="B803" s="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>
      <c r="A804" s="1"/>
      <c r="B804" s="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>
      <c r="A805" s="1"/>
      <c r="B805" s="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>
      <c r="A806" s="1"/>
      <c r="B806" s="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>
      <c r="A807" s="1"/>
      <c r="B807" s="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>
      <c r="A808" s="1"/>
      <c r="B808" s="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>
      <c r="A809" s="1"/>
      <c r="B809" s="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>
      <c r="A810" s="1"/>
      <c r="B810" s="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>
      <c r="A811" s="1"/>
      <c r="B811" s="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>
      <c r="A812" s="1"/>
      <c r="B812" s="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>
      <c r="A813" s="1"/>
      <c r="B813" s="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>
      <c r="A814" s="1"/>
      <c r="B814" s="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>
      <c r="A815" s="1"/>
      <c r="B815" s="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>
      <c r="A816" s="1"/>
      <c r="B816" s="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>
      <c r="A817" s="1"/>
      <c r="B817" s="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>
      <c r="A818" s="1"/>
      <c r="B818" s="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>
      <c r="A819" s="1"/>
      <c r="B819" s="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>
      <c r="A820" s="1"/>
      <c r="B820" s="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>
      <c r="A821" s="1"/>
      <c r="B821" s="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>
      <c r="A822" s="1"/>
      <c r="B822" s="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>
      <c r="A823" s="1"/>
      <c r="B823" s="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>
      <c r="A824" s="1"/>
      <c r="B824" s="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>
      <c r="A825" s="1"/>
      <c r="B825" s="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>
      <c r="A826" s="1"/>
      <c r="B826" s="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>
      <c r="A827" s="1"/>
      <c r="B827" s="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>
      <c r="A828" s="1"/>
      <c r="B828" s="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>
      <c r="A829" s="1"/>
      <c r="B829" s="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>
      <c r="A830" s="1"/>
      <c r="B830" s="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>
      <c r="A831" s="1"/>
      <c r="B831" s="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>
      <c r="A832" s="1"/>
      <c r="B832" s="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>
      <c r="A833" s="1"/>
      <c r="B833" s="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>
      <c r="A834" s="1"/>
      <c r="B834" s="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>
      <c r="A835" s="1"/>
      <c r="B835" s="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>
      <c r="A836" s="1"/>
      <c r="B836" s="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>
      <c r="A837" s="1"/>
      <c r="B837" s="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>
      <c r="A838" s="1"/>
      <c r="B838" s="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>
      <c r="A839" s="1"/>
      <c r="B839" s="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>
      <c r="A840" s="1"/>
      <c r="B840" s="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>
      <c r="A841" s="1"/>
      <c r="B841" s="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>
      <c r="A842" s="1"/>
      <c r="B842" s="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>
      <c r="A843" s="1"/>
      <c r="B843" s="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>
      <c r="A844" s="1"/>
      <c r="B844" s="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>
      <c r="A845" s="1"/>
      <c r="B845" s="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>
      <c r="A846" s="1"/>
      <c r="B846" s="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>
      <c r="A847" s="1"/>
      <c r="B847" s="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>
      <c r="A848" s="1"/>
      <c r="B848" s="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>
      <c r="A849" s="1"/>
      <c r="B849" s="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>
      <c r="A850" s="1"/>
      <c r="B850" s="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>
      <c r="A851" s="1"/>
      <c r="B851" s="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>
      <c r="A852" s="1"/>
      <c r="B852" s="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>
      <c r="A853" s="1"/>
      <c r="B853" s="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>
      <c r="A854" s="1"/>
      <c r="B854" s="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>
      <c r="A855" s="1"/>
      <c r="B855" s="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>
      <c r="A856" s="1"/>
      <c r="B856" s="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>
      <c r="A857" s="1"/>
      <c r="B857" s="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>
      <c r="A858" s="1"/>
      <c r="B858" s="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>
      <c r="A859" s="1"/>
      <c r="B859" s="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>
      <c r="A860" s="1"/>
      <c r="B860" s="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>
      <c r="A861" s="1"/>
      <c r="B861" s="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>
      <c r="A862" s="1"/>
      <c r="B862" s="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>
      <c r="A863" s="1"/>
      <c r="B863" s="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>
      <c r="A864" s="1"/>
      <c r="B864" s="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>
      <c r="A865" s="1"/>
      <c r="B865" s="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>
      <c r="A866" s="1"/>
      <c r="B866" s="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>
      <c r="A867" s="1"/>
      <c r="B867" s="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>
      <c r="A868" s="1"/>
      <c r="B868" s="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>
      <c r="A869" s="1"/>
      <c r="B869" s="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>
      <c r="A870" s="1"/>
      <c r="B870" s="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>
      <c r="A871" s="1"/>
      <c r="B871" s="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>
      <c r="A872" s="1"/>
      <c r="B872" s="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>
      <c r="A873" s="1"/>
      <c r="B873" s="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>
      <c r="A874" s="1"/>
      <c r="B874" s="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>
      <c r="A875" s="1"/>
      <c r="B875" s="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>
      <c r="A876" s="1"/>
      <c r="B876" s="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>
      <c r="A877" s="1"/>
      <c r="B877" s="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>
      <c r="A878" s="1"/>
      <c r="B878" s="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>
      <c r="A879" s="1"/>
      <c r="B879" s="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>
      <c r="A880" s="1"/>
      <c r="B880" s="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>
      <c r="A881" s="1"/>
      <c r="B881" s="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>
      <c r="A882" s="1"/>
      <c r="B882" s="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>
      <c r="A883" s="1"/>
      <c r="B883" s="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>
      <c r="A884" s="1"/>
      <c r="B884" s="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>
      <c r="A885" s="1"/>
      <c r="B885" s="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>
      <c r="A886" s="1"/>
      <c r="B886" s="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>
      <c r="A887" s="1"/>
      <c r="B887" s="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>
      <c r="A888" s="1"/>
      <c r="B888" s="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>
      <c r="A889" s="1"/>
      <c r="B889" s="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>
      <c r="A890" s="1"/>
      <c r="B890" s="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>
      <c r="A891" s="1"/>
      <c r="B891" s="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>
      <c r="A892" s="1"/>
      <c r="B892" s="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>
      <c r="A893" s="1"/>
      <c r="B893" s="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>
      <c r="A894" s="1"/>
      <c r="B894" s="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>
      <c r="A895" s="1"/>
      <c r="B895" s="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>
      <c r="A896" s="1"/>
      <c r="B896" s="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>
      <c r="A897" s="1"/>
      <c r="B897" s="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>
      <c r="A898" s="1"/>
      <c r="B898" s="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>
      <c r="A899" s="1"/>
      <c r="B899" s="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>
      <c r="A900" s="1"/>
      <c r="B900" s="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>
      <c r="A901" s="1"/>
      <c r="B901" s="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>
      <c r="A902" s="1"/>
      <c r="B902" s="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>
      <c r="A903" s="1"/>
      <c r="B903" s="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>
      <c r="A904" s="1"/>
      <c r="B904" s="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>
      <c r="A905" s="1"/>
      <c r="B905" s="8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>
      <c r="A906" s="1"/>
      <c r="B906" s="8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>
      <c r="A907" s="1"/>
      <c r="B907" s="8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>
      <c r="A908" s="1"/>
      <c r="B908" s="8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>
      <c r="A909" s="1"/>
      <c r="B909" s="8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>
      <c r="A910" s="1"/>
      <c r="B910" s="8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>
      <c r="A911" s="1"/>
      <c r="B911" s="8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>
      <c r="A912" s="1"/>
      <c r="B912" s="8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>
      <c r="A913" s="1"/>
      <c r="B913" s="8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>
      <c r="A914" s="1"/>
      <c r="B914" s="8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>
      <c r="A915" s="1"/>
      <c r="B915" s="8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>
      <c r="A916" s="1"/>
      <c r="B916" s="8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>
      <c r="A917" s="1"/>
      <c r="B917" s="8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>
      <c r="A918" s="1"/>
      <c r="B918" s="8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>
      <c r="A919" s="1"/>
      <c r="B919" s="8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>
      <c r="A920" s="1"/>
      <c r="B920" s="8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>
      <c r="A921" s="1"/>
      <c r="B921" s="8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>
      <c r="A922" s="1"/>
      <c r="B922" s="8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>
      <c r="A923" s="1"/>
      <c r="B923" s="8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>
      <c r="A924" s="1"/>
      <c r="B924" s="8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>
      <c r="A925" s="1"/>
      <c r="B925" s="8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>
      <c r="A926" s="1"/>
      <c r="B926" s="8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>
      <c r="A927" s="1"/>
      <c r="B927" s="8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>
      <c r="A928" s="1"/>
      <c r="B928" s="8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>
      <c r="A929" s="1"/>
      <c r="B929" s="8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>
      <c r="A930" s="1"/>
      <c r="B930" s="8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>
      <c r="A931" s="1"/>
      <c r="B931" s="8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>
      <c r="A932" s="1"/>
      <c r="B932" s="8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>
      <c r="A933" s="1"/>
      <c r="B933" s="8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>
      <c r="A934" s="1"/>
      <c r="B934" s="8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>
      <c r="A935" s="1"/>
      <c r="B935" s="8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>
      <c r="A936" s="1"/>
      <c r="B936" s="8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>
      <c r="A937" s="1"/>
      <c r="B937" s="8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>
      <c r="A938" s="1"/>
      <c r="B938" s="8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>
      <c r="A939" s="1"/>
      <c r="B939" s="8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>
      <c r="A940" s="1"/>
      <c r="B940" s="8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>
      <c r="A941" s="1"/>
      <c r="B941" s="8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>
      <c r="A942" s="1"/>
      <c r="B942" s="8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>
      <c r="A943" s="1"/>
      <c r="B943" s="8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>
      <c r="A944" s="1"/>
      <c r="B944" s="8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>
      <c r="A945" s="1"/>
      <c r="B945" s="8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>
      <c r="A946" s="1"/>
      <c r="B946" s="8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>
      <c r="A947" s="1"/>
      <c r="B947" s="8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>
      <c r="A948" s="1"/>
      <c r="B948" s="8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>
      <c r="A949" s="1"/>
      <c r="B949" s="8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>
      <c r="A950" s="1"/>
      <c r="B950" s="8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>
      <c r="A951" s="1"/>
      <c r="B951" s="8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>
      <c r="A952" s="1"/>
      <c r="B952" s="8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>
      <c r="A953" s="1"/>
      <c r="B953" s="8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>
      <c r="A954" s="1"/>
      <c r="B954" s="8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>
      <c r="A955" s="1"/>
      <c r="B955" s="8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>
      <c r="A956" s="1"/>
      <c r="B956" s="8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>
      <c r="A957" s="1"/>
      <c r="B957" s="8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>
      <c r="A958" s="1"/>
      <c r="B958" s="8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>
      <c r="A959" s="1"/>
      <c r="B959" s="8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>
      <c r="A960" s="1"/>
      <c r="B960" s="8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>
      <c r="A961" s="1"/>
      <c r="B961" s="8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>
      <c r="A962" s="1"/>
      <c r="B962" s="8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>
      <c r="A963" s="1"/>
      <c r="B963" s="8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>
      <c r="A964" s="1"/>
      <c r="B964" s="8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>
      <c r="A965" s="1"/>
      <c r="B965" s="8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>
      <c r="A966" s="1"/>
      <c r="B966" s="8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>
      <c r="A967" s="1"/>
      <c r="B967" s="8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>
      <c r="A968" s="1"/>
      <c r="B968" s="8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>
      <c r="A969" s="1"/>
      <c r="B969" s="8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>
      <c r="A970" s="1"/>
      <c r="B970" s="8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>
      <c r="A971" s="1"/>
      <c r="B971" s="8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>
      <c r="A972" s="1"/>
      <c r="B972" s="8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</sheetData>
  <mergeCells count="2">
    <mergeCell ref="B3:F3"/>
    <mergeCell ref="B22:F22"/>
  </mergeCells>
  <drawing r:id="rId1"/>
</worksheet>
</file>