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hartsheet+xml" PartName="/xl/chart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CIONAL" sheetId="1" r:id="rId4"/>
    <sheet state="visible" name="CIERRE_yucatan" sheetId="2" r:id="rId5"/>
    <sheet state="visible" name="produccion lechera yucatan. " sheetId="3" r:id="rId6"/>
  </sheets>
  <definedNames/>
  <calcPr/>
  <extLst>
    <ext uri="GoogleSheetsCustomDataVersion2">
      <go:sheetsCustomData xmlns:go="http://customooxmlschemas.google.com/" r:id="rId7" roundtripDataChecksum="ed3Xi0+oBbilkfSGekVFM+zRH6/9cCS4bpBns1R/ptc="/>
    </ext>
  </extLst>
</workbook>
</file>

<file path=xl/sharedStrings.xml><?xml version="1.0" encoding="utf-8"?>
<sst xmlns="http://schemas.openxmlformats.org/spreadsheetml/2006/main" count="125" uniqueCount="61">
  <si>
    <t>Leche Bovino</t>
  </si>
  <si>
    <t>Producción, precio y valor</t>
  </si>
  <si>
    <t>Estado</t>
  </si>
  <si>
    <t>Producción (miles de litros)</t>
  </si>
  <si>
    <t>% participación</t>
  </si>
  <si>
    <t>Precio (pesos por litros)</t>
  </si>
  <si>
    <t>Valor de la Producción (miles de pesos)</t>
  </si>
  <si>
    <t>Jalisco</t>
  </si>
  <si>
    <t>Coahuila</t>
  </si>
  <si>
    <t>Durango</t>
  </si>
  <si>
    <t>Chihuahua</t>
  </si>
  <si>
    <t>Guanajuato</t>
  </si>
  <si>
    <t>Veracruz</t>
  </si>
  <si>
    <t>Chiapas</t>
  </si>
  <si>
    <t>Puebla</t>
  </si>
  <si>
    <t>Aguascalientes</t>
  </si>
  <si>
    <t>México</t>
  </si>
  <si>
    <t>Hidalgo</t>
  </si>
  <si>
    <t>Querétaro</t>
  </si>
  <si>
    <t>Michoacán</t>
  </si>
  <si>
    <t>Baja California</t>
  </si>
  <si>
    <t>Zacatecas</t>
  </si>
  <si>
    <t>San Luis Potosí</t>
  </si>
  <si>
    <t>Oaxaca</t>
  </si>
  <si>
    <t>Sonora</t>
  </si>
  <si>
    <t>Tabasco</t>
  </si>
  <si>
    <t>Sinaloa</t>
  </si>
  <si>
    <t>Guerrero</t>
  </si>
  <si>
    <t>Tlaxcala</t>
  </si>
  <si>
    <t>Colima</t>
  </si>
  <si>
    <t>Campeche</t>
  </si>
  <si>
    <t>Nayarit</t>
  </si>
  <si>
    <t>Baja California Sur</t>
  </si>
  <si>
    <t>Morelos</t>
  </si>
  <si>
    <t>Tamaulipas</t>
  </si>
  <si>
    <t>Nuevo León</t>
  </si>
  <si>
    <t>Ciudad de México</t>
  </si>
  <si>
    <t>Quintana Roo</t>
  </si>
  <si>
    <t>Yucatán</t>
  </si>
  <si>
    <t>Total</t>
  </si>
  <si>
    <t>Fuente: Servicio de Información Agroalimentaria y Pesquera (SIAP).</t>
  </si>
  <si>
    <t>Estado/Municipio</t>
  </si>
  <si>
    <t>Producción</t>
  </si>
  <si>
    <t>Precio</t>
  </si>
  <si>
    <t>Valor de la Producción</t>
  </si>
  <si>
    <t>(miles de litros)</t>
  </si>
  <si>
    <t>(pesos por litros)</t>
  </si>
  <si>
    <t>(miles de pesos)</t>
  </si>
  <si>
    <t>MUNICIPIO</t>
  </si>
  <si>
    <t>Buctzotz</t>
  </si>
  <si>
    <t>Dzán</t>
  </si>
  <si>
    <t>Espita</t>
  </si>
  <si>
    <t>Kanasín</t>
  </si>
  <si>
    <t>Mérida</t>
  </si>
  <si>
    <t>Panabá</t>
  </si>
  <si>
    <t>Progreso</t>
  </si>
  <si>
    <t>San Felipe</t>
  </si>
  <si>
    <t>Sucilá</t>
  </si>
  <si>
    <t>Ticul</t>
  </si>
  <si>
    <t>Tizimín</t>
  </si>
  <si>
    <t>Tzucacab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</si>
</sst>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* #,##0.00_-;\-&quot;$&quot;* #,##0.00_-;_-&quot;$&quot;* &quot;-&quot;??_-;_-@"/>
  </numFmts>
  <fonts count="7">
    <font>
      <sz val="11.0"/>
      <color theme="1"/>
      <name val="Calibri"/>
      <scheme val="minor"/>
    </font>
    <font>
      <b/>
      <sz val="24.0"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wrapText="1"/>
    </xf>
    <xf borderId="2" fillId="0" fontId="3" numFmtId="4" xfId="0" applyAlignment="1" applyBorder="1" applyFont="1" applyNumberFormat="1">
      <alignment horizontal="right" shrinkToFit="0" wrapText="1"/>
    </xf>
    <xf borderId="2" fillId="0" fontId="3" numFmtId="10" xfId="0" applyAlignment="1" applyBorder="1" applyFont="1" applyNumberFormat="1">
      <alignment horizontal="right" shrinkToFit="0" wrapText="1"/>
    </xf>
    <xf borderId="2" fillId="0" fontId="3" numFmtId="164" xfId="0" applyAlignment="1" applyBorder="1" applyFont="1" applyNumberFormat="1">
      <alignment horizontal="right" shrinkToFit="0" wrapText="1"/>
    </xf>
    <xf borderId="2" fillId="0" fontId="4" numFmtId="0" xfId="0" applyAlignment="1" applyBorder="1" applyFont="1">
      <alignment horizontal="center" shrinkToFit="0" vertical="center" wrapText="1"/>
    </xf>
    <xf borderId="2" fillId="0" fontId="4" numFmtId="4" xfId="0" applyAlignment="1" applyBorder="1" applyFont="1" applyNumberFormat="1">
      <alignment horizontal="right" shrinkToFit="0" vertical="center" wrapText="1"/>
    </xf>
    <xf borderId="2" fillId="0" fontId="4" numFmtId="10" xfId="0" applyAlignment="1" applyBorder="1" applyFont="1" applyNumberFormat="1">
      <alignment horizontal="right" shrinkToFit="0" vertical="center" wrapText="1"/>
    </xf>
    <xf borderId="2" fillId="0" fontId="4" numFmtId="164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left" shrinkToFit="0" wrapText="1"/>
    </xf>
    <xf borderId="0" fillId="0" fontId="5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3" fillId="0" fontId="5" numFmtId="0" xfId="0" applyAlignment="1" applyBorder="1" applyFont="1">
      <alignment horizontal="center" shrinkToFit="0" vertical="center" wrapText="1"/>
    </xf>
    <xf borderId="4" fillId="0" fontId="6" numFmtId="0" xfId="0" applyBorder="1" applyFont="1"/>
    <xf borderId="5" fillId="0" fontId="6" numFmtId="0" xfId="0" applyBorder="1" applyFont="1"/>
    <xf borderId="3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6" fillId="0" fontId="6" numFmtId="0" xfId="0" applyBorder="1" applyFont="1"/>
    <xf borderId="6" fillId="0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horizontal="right" readingOrder="0" shrinkToFit="0" wrapText="1"/>
    </xf>
    <xf borderId="6" fillId="0" fontId="2" numFmtId="0" xfId="0" applyAlignment="1" applyBorder="1" applyFont="1">
      <alignment horizontal="right" shrinkToFit="0" wrapText="1"/>
    </xf>
    <xf borderId="2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0" fontId="2" numFmtId="0" xfId="0" applyAlignment="1" applyBorder="1" applyFont="1">
      <alignment horizontal="right" shrinkToFit="0" wrapText="1"/>
    </xf>
    <xf borderId="2" fillId="0" fontId="2" numFmtId="4" xfId="0" applyAlignment="1" applyBorder="1" applyFont="1" applyNumberFormat="1">
      <alignment horizontal="right" shrinkToFit="0" wrapText="1"/>
    </xf>
    <xf borderId="2" fillId="0" fontId="5" numFmtId="0" xfId="0" applyAlignment="1" applyBorder="1" applyFont="1">
      <alignment horizontal="center" shrinkToFit="0" vertical="center" wrapText="1"/>
    </xf>
    <xf borderId="2" fillId="0" fontId="5" numFmtId="4" xfId="0" applyAlignment="1" applyBorder="1" applyFont="1" applyNumberFormat="1">
      <alignment horizontal="right" shrinkToFit="0" vertical="center" wrapText="1"/>
    </xf>
    <xf borderId="2" fillId="0" fontId="5" numFmtId="0" xfId="0" applyAlignment="1" applyBorder="1" applyFont="1">
      <alignment horizontal="right" shrinkToFit="0" vertical="center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chartsheet" Target="chartsheets/sheet1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A61C00"/>
                </a:solidFill>
                <a:latin typeface="Tahoma"/>
              </a:defRPr>
            </a:pPr>
            <a:r>
              <a:rPr b="0" sz="3000">
                <a:solidFill>
                  <a:srgbClr val="A61C00"/>
                </a:solidFill>
                <a:latin typeface="Tahoma"/>
              </a:rPr>
              <a:t>Producción Láctea en Yucatan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CIERRE_yucatan!$B$8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CIERRE_yucatan!$A$9:$A$20</c:f>
            </c:strRef>
          </c:cat>
          <c:val>
            <c:numRef>
              <c:f>CIERRE_yucatan!$B$9:$B$20</c:f>
              <c:numCache/>
            </c:numRef>
          </c:val>
        </c:ser>
        <c:ser>
          <c:idx val="1"/>
          <c:order val="1"/>
          <c:tx>
            <c:strRef>
              <c:f>CIERRE_yucatan!$G$8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CIERRE_yucatan!$A$9:$A$20</c:f>
            </c:strRef>
          </c:cat>
          <c:val>
            <c:numRef>
              <c:f>CIERRE_yucatan!$G$9:$G$20</c:f>
              <c:numCache/>
            </c:numRef>
          </c:val>
        </c:ser>
        <c:ser>
          <c:idx val="2"/>
          <c:order val="2"/>
          <c:tx>
            <c:strRef>
              <c:f>CIERRE_yucatan!$L$8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CIERRE_yucatan!$A$9:$A$20</c:f>
            </c:strRef>
          </c:cat>
          <c:val>
            <c:numRef>
              <c:f>CIERRE_yucatan!$L$9:$L$20</c:f>
              <c:numCache/>
            </c:numRef>
          </c:val>
        </c:ser>
        <c:ser>
          <c:idx val="3"/>
          <c:order val="3"/>
          <c:tx>
            <c:strRef>
              <c:f>CIERRE_yucatan!$Q$8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CIERRE_yucatan!$A$9:$A$20</c:f>
            </c:strRef>
          </c:cat>
          <c:val>
            <c:numRef>
              <c:f>CIERRE_yucatan!$Q$9:$Q$20</c:f>
              <c:numCache/>
            </c:numRef>
          </c:val>
        </c:ser>
        <c:axId val="1120470130"/>
        <c:axId val="984228893"/>
      </c:bar3DChart>
      <c:catAx>
        <c:axId val="1120470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Producción, precio y valor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984228893"/>
      </c:catAx>
      <c:valAx>
        <c:axId val="984228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04701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2113984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5.71"/>
    <col customWidth="1" min="2" max="3" width="13.14"/>
    <col customWidth="1" min="4" max="4" width="14.14"/>
    <col customWidth="1" min="5" max="5" width="18.43"/>
    <col customWidth="1" min="6" max="6" width="13.14"/>
    <col customWidth="1" min="7" max="26" width="10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3">
        <v>2024.0</v>
      </c>
    </row>
    <row r="6">
      <c r="A6" s="4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4</v>
      </c>
    </row>
    <row r="7">
      <c r="A7" s="6" t="s">
        <v>7</v>
      </c>
      <c r="B7" s="7">
        <v>2845110.294</v>
      </c>
      <c r="C7" s="8">
        <f>IFERROR(__xludf.DUMMYFUNCTION("+B7/B$39"),0.20992368696927605)</f>
        <v>0.209923687</v>
      </c>
      <c r="D7" s="9">
        <v>9.2</v>
      </c>
      <c r="E7" s="9">
        <v>2.6175690989E7</v>
      </c>
      <c r="F7" s="8">
        <f>IFERROR(__xludf.DUMMYFUNCTION("+E7/E$39"),0.21049181112746643)</f>
        <v>0.2104918111</v>
      </c>
    </row>
    <row r="8">
      <c r="A8" s="6" t="s">
        <v>8</v>
      </c>
      <c r="B8" s="7">
        <v>1571043.894</v>
      </c>
      <c r="C8" s="8">
        <f>IFERROR(__xludf.DUMMYFUNCTION("+B8/B$39"),0.1159179407963748)</f>
        <v>0.1159179408</v>
      </c>
      <c r="D8" s="9">
        <v>9.2</v>
      </c>
      <c r="E8" s="9">
        <v>1.4453432772E7</v>
      </c>
      <c r="F8" s="8">
        <f>IFERROR(__xludf.DUMMYFUNCTION("+E8/E$39"),0.11622727524044571)</f>
        <v>0.1162272752</v>
      </c>
    </row>
    <row r="9">
      <c r="A9" s="6" t="s">
        <v>9</v>
      </c>
      <c r="B9" s="7">
        <v>1547866.487</v>
      </c>
      <c r="C9" s="8">
        <f>IFERROR(__xludf.DUMMYFUNCTION("+B9/B$39"),0.11420781843588554)</f>
        <v>0.1142078184</v>
      </c>
      <c r="D9" s="9">
        <v>9.23</v>
      </c>
      <c r="E9" s="9">
        <v>1.428202913E7</v>
      </c>
      <c r="F9" s="8">
        <f>IFERROR(__xludf.DUMMYFUNCTION("+E9/E$39"),0.11484893290543016)</f>
        <v>0.1148489329</v>
      </c>
    </row>
    <row r="10">
      <c r="A10" s="6" t="s">
        <v>10</v>
      </c>
      <c r="B10" s="7">
        <v>1278394.266</v>
      </c>
      <c r="C10" s="8">
        <f>IFERROR(__xludf.DUMMYFUNCTION("+B10/B$39"),0.09432507354286118)</f>
        <v>0.09432507354</v>
      </c>
      <c r="D10" s="9">
        <v>9.94</v>
      </c>
      <c r="E10" s="9">
        <v>1.2707239004E7</v>
      </c>
      <c r="F10" s="8">
        <f>IFERROR(__xludf.DUMMYFUNCTION("+E10/E$39"),0.10218525858612788)</f>
        <v>0.1021852586</v>
      </c>
    </row>
    <row r="11">
      <c r="A11" s="6" t="s">
        <v>11</v>
      </c>
      <c r="B11" s="7">
        <v>928685.005</v>
      </c>
      <c r="C11" s="8">
        <f>IFERROR(__xludf.DUMMYFUNCTION("+B11/B$39"),0.06852211694351999)</f>
        <v>0.06852211694</v>
      </c>
      <c r="D11" s="9">
        <v>9.09</v>
      </c>
      <c r="E11" s="9">
        <v>8441746.695</v>
      </c>
      <c r="F11" s="8">
        <f>IFERROR(__xludf.DUMMYFUNCTION("+E11/E$39"),0.06788430348053014)</f>
        <v>0.06788430348</v>
      </c>
    </row>
    <row r="12">
      <c r="A12" s="6" t="s">
        <v>12</v>
      </c>
      <c r="B12" s="7">
        <v>820691.199</v>
      </c>
      <c r="C12" s="8">
        <f>IFERROR(__xludf.DUMMYFUNCTION("+B12/B$39"),0.0605538993411395)</f>
        <v>0.06055389934</v>
      </c>
      <c r="D12" s="9">
        <v>8.85</v>
      </c>
      <c r="E12" s="9">
        <v>7263117.111</v>
      </c>
      <c r="F12" s="8">
        <f>IFERROR(__xludf.DUMMYFUNCTION("+E12/E$39"),0.058406354039240126)</f>
        <v>0.05840635404</v>
      </c>
    </row>
    <row r="13">
      <c r="A13" s="6" t="s">
        <v>13</v>
      </c>
      <c r="B13" s="7">
        <v>472057.451</v>
      </c>
      <c r="C13" s="8">
        <f>IFERROR(__xludf.DUMMYFUNCTION("+B13/B$39"),0.034830298419087705)</f>
        <v>0.03483029842</v>
      </c>
      <c r="D13" s="9">
        <v>8.11</v>
      </c>
      <c r="E13" s="9">
        <v>3828385.928</v>
      </c>
      <c r="F13" s="8">
        <f>IFERROR(__xludf.DUMMYFUNCTION("+E13/E$39"),0.030785964275719477)</f>
        <v>0.03078596428</v>
      </c>
    </row>
    <row r="14">
      <c r="A14" s="6" t="s">
        <v>14</v>
      </c>
      <c r="B14" s="7">
        <v>470562.79</v>
      </c>
      <c r="C14" s="8">
        <f>IFERROR(__xludf.DUMMYFUNCTION("+B14/B$39"),0.03472001631559566)</f>
        <v>0.03472001632</v>
      </c>
      <c r="D14" s="9">
        <v>8.63</v>
      </c>
      <c r="E14" s="9">
        <v>4060956.878</v>
      </c>
      <c r="F14" s="8">
        <f>IFERROR(__xludf.DUMMYFUNCTION("+E14/E$39"),0.03265618349941477)</f>
        <v>0.0326561835</v>
      </c>
    </row>
    <row r="15">
      <c r="A15" s="6" t="s">
        <v>15</v>
      </c>
      <c r="B15" s="7">
        <v>447429.345</v>
      </c>
      <c r="C15" s="8">
        <f>IFERROR(__xludf.DUMMYFUNCTION("+B15/B$39"),0.033013137648381166)</f>
        <v>0.03301313765</v>
      </c>
      <c r="D15" s="9">
        <v>8.99</v>
      </c>
      <c r="E15" s="9">
        <v>4022271.628</v>
      </c>
      <c r="F15" s="8">
        <f>IFERROR(__xludf.DUMMYFUNCTION("+E15/E$39"),0.03234509607330477)</f>
        <v>0.03234509607</v>
      </c>
    </row>
    <row r="16">
      <c r="A16" s="6" t="s">
        <v>16</v>
      </c>
      <c r="B16" s="7">
        <v>440904.189</v>
      </c>
      <c r="C16" s="8">
        <f>IFERROR(__xludf.DUMMYFUNCTION("+B16/B$39"),0.032531685379743845)</f>
        <v>0.03253168538</v>
      </c>
      <c r="D16" s="9">
        <v>9.14</v>
      </c>
      <c r="E16" s="9">
        <v>4029864.287</v>
      </c>
      <c r="F16" s="8">
        <f>IFERROR(__xludf.DUMMYFUNCTION("+E16/E$39"),0.03240615243834418)</f>
        <v>0.03240615244</v>
      </c>
    </row>
    <row r="17">
      <c r="A17" s="6" t="s">
        <v>17</v>
      </c>
      <c r="B17" s="7">
        <v>436925.53</v>
      </c>
      <c r="C17" s="8">
        <f>IFERROR(__xludf.DUMMYFUNCTION("+B17/B$39"),0.032238123907545435)</f>
        <v>0.03223812391</v>
      </c>
      <c r="D17" s="9">
        <v>8.6</v>
      </c>
      <c r="E17" s="9">
        <v>3757559.558</v>
      </c>
      <c r="F17" s="8">
        <f>IFERROR(__xludf.DUMMYFUNCTION("+E17/E$39"),0.030216414042904264)</f>
        <v>0.03021641404</v>
      </c>
    </row>
    <row r="18">
      <c r="A18" s="6" t="s">
        <v>18</v>
      </c>
      <c r="B18" s="7">
        <v>427887.12</v>
      </c>
      <c r="C18" s="8">
        <f>IFERROR(__xludf.DUMMYFUNCTION("+B18/B$39"),0.031571233644787845)</f>
        <v>0.03157123364</v>
      </c>
      <c r="D18" s="9">
        <v>9.51</v>
      </c>
      <c r="E18" s="9">
        <v>4069206.511</v>
      </c>
      <c r="F18" s="8">
        <f>IFERROR(__xludf.DUMMYFUNCTION("+E18/E$39"),0.03272252292067538)</f>
        <v>0.03272252292</v>
      </c>
    </row>
    <row r="19">
      <c r="A19" s="6" t="s">
        <v>19</v>
      </c>
      <c r="B19" s="7">
        <v>389144.659</v>
      </c>
      <c r="C19" s="8">
        <f>IFERROR(__xludf.DUMMYFUNCTION("+B19/B$39"),0.028712658962275598)</f>
        <v>0.02871265896</v>
      </c>
      <c r="D19" s="9">
        <v>9.62</v>
      </c>
      <c r="E19" s="9">
        <v>3744738.906</v>
      </c>
      <c r="F19" s="8">
        <f>IFERROR(__xludf.DUMMYFUNCTION("+E19/E$39"),0.030113316773745295)</f>
        <v>0.03011331677</v>
      </c>
    </row>
    <row r="20">
      <c r="A20" s="6" t="s">
        <v>20</v>
      </c>
      <c r="B20" s="7">
        <v>215544.344</v>
      </c>
      <c r="C20" s="8">
        <f>IFERROR(__xludf.DUMMYFUNCTION("+B20/B$39"),0.01590372910789305)</f>
        <v>0.01590372911</v>
      </c>
      <c r="D20" s="9">
        <v>9.82</v>
      </c>
      <c r="E20" s="9">
        <v>2116645.458</v>
      </c>
      <c r="F20" s="8">
        <f>IFERROR(__xludf.DUMMYFUNCTION("+E20/E$39"),0.017021003806790686)</f>
        <v>0.01702100381</v>
      </c>
    </row>
    <row r="21" ht="15.75" customHeight="1">
      <c r="A21" s="6" t="s">
        <v>21</v>
      </c>
      <c r="B21" s="7">
        <v>197295.326</v>
      </c>
      <c r="C21" s="8">
        <f>IFERROR(__xludf.DUMMYFUNCTION("+B21/B$39"),0.01455724312096748)</f>
        <v>0.01455724312</v>
      </c>
      <c r="D21" s="9">
        <v>9.72</v>
      </c>
      <c r="E21" s="9">
        <v>1917710.568</v>
      </c>
      <c r="F21" s="8">
        <f>IFERROR(__xludf.DUMMYFUNCTION("+E21/E$39"),0.015421268949355962)</f>
        <v>0.01542126895</v>
      </c>
    </row>
    <row r="22" ht="15.75" customHeight="1">
      <c r="A22" s="6" t="s">
        <v>22</v>
      </c>
      <c r="B22" s="7">
        <v>159418.047</v>
      </c>
      <c r="C22" s="8">
        <f>IFERROR(__xludf.DUMMYFUNCTION("+B22/B$39"),0.011762505048136924)</f>
        <v>0.01176250505</v>
      </c>
      <c r="D22" s="9">
        <v>8.8</v>
      </c>
      <c r="E22" s="9">
        <v>1402878.814</v>
      </c>
      <c r="F22" s="8">
        <f>IFERROR(__xludf.DUMMYFUNCTION("+E22/E$39"),0.011281249556136104)</f>
        <v>0.01128124956</v>
      </c>
    </row>
    <row r="23" ht="15.75" customHeight="1">
      <c r="A23" s="6" t="s">
        <v>23</v>
      </c>
      <c r="B23" s="7">
        <v>152515.137</v>
      </c>
      <c r="C23" s="8">
        <f>IFERROR(__xludf.DUMMYFUNCTION("+B23/B$39"),0.01125318056919738)</f>
        <v>0.01125318057</v>
      </c>
      <c r="D23" s="9">
        <v>8.32</v>
      </c>
      <c r="E23" s="9">
        <v>1268925.94</v>
      </c>
      <c r="F23" s="8">
        <f>IFERROR(__xludf.DUMMYFUNCTION("+E23/E$39"),0.010204067560602985)</f>
        <v>0.01020406756</v>
      </c>
    </row>
    <row r="24" ht="15.75" customHeight="1">
      <c r="A24" s="6" t="s">
        <v>24</v>
      </c>
      <c r="B24" s="7">
        <v>114347.284</v>
      </c>
      <c r="C24" s="8">
        <f>IFERROR(__xludf.DUMMYFUNCTION("+B24/B$39"),0.00843700277730003)</f>
        <v>0.008437002777</v>
      </c>
      <c r="D24" s="9">
        <v>9.85</v>
      </c>
      <c r="E24" s="9">
        <v>1126320.747</v>
      </c>
      <c r="F24" s="8">
        <f>IFERROR(__xludf.DUMMYFUNCTION("+E24/E$39"),0.009057307944462719)</f>
        <v>0.009057307944</v>
      </c>
    </row>
    <row r="25" ht="15.75" customHeight="1">
      <c r="A25" s="6" t="s">
        <v>25</v>
      </c>
      <c r="B25" s="7">
        <v>107664.217</v>
      </c>
      <c r="C25" s="8">
        <f>IFERROR(__xludf.DUMMYFUNCTION("+B25/B$39"),0.00794389919960699)</f>
        <v>0.0079438992</v>
      </c>
      <c r="D25" s="9">
        <v>8.13</v>
      </c>
      <c r="E25" s="9">
        <v>875310.084</v>
      </c>
      <c r="F25" s="8">
        <f>IFERROR(__xludf.DUMMYFUNCTION("+E25/E$39"),0.00703880577428583)</f>
        <v>0.007038805774</v>
      </c>
    </row>
    <row r="26" ht="15.75" customHeight="1">
      <c r="A26" s="6" t="s">
        <v>26</v>
      </c>
      <c r="B26" s="7">
        <v>99795.096</v>
      </c>
      <c r="C26" s="8">
        <f>IFERROR(__xludf.DUMMYFUNCTION("+B26/B$39"),0.007363283784798274)</f>
        <v>0.007363283785</v>
      </c>
      <c r="D26" s="9">
        <v>8.86</v>
      </c>
      <c r="E26" s="9">
        <v>884184.551</v>
      </c>
      <c r="F26" s="8">
        <f>IFERROR(__xludf.DUMMYFUNCTION("+E26/E$39"),0.007110169797967418)</f>
        <v>0.007110169798</v>
      </c>
    </row>
    <row r="27" ht="15.75" customHeight="1">
      <c r="A27" s="6" t="s">
        <v>27</v>
      </c>
      <c r="B27" s="7">
        <v>92238.126</v>
      </c>
      <c r="C27" s="8">
        <f>IFERROR(__xludf.DUMMYFUNCTION("+B27/B$39"),0.006805700126947922)</f>
        <v>0.006805700127</v>
      </c>
      <c r="D27" s="9">
        <v>9.46</v>
      </c>
      <c r="E27" s="9">
        <v>872147.626</v>
      </c>
      <c r="F27" s="8">
        <f>IFERROR(__xludf.DUMMYFUNCTION("+E27/E$39"),0.0070133748692406)</f>
        <v>0.007013374869</v>
      </c>
    </row>
    <row r="28" ht="15.75" customHeight="1">
      <c r="A28" s="6" t="s">
        <v>28</v>
      </c>
      <c r="B28" s="7">
        <v>85395.249</v>
      </c>
      <c r="C28" s="8">
        <f>IFERROR(__xludf.DUMMYFUNCTION("+B28/B$39"),0.006300805124337081)</f>
        <v>0.006300805124</v>
      </c>
      <c r="D28" s="9">
        <v>8.94</v>
      </c>
      <c r="E28" s="9">
        <v>763433.526</v>
      </c>
      <c r="F28" s="8">
        <f>IFERROR(__xludf.DUMMYFUNCTION("+E28/E$39"),0.006139150467152839)</f>
        <v>0.006139150467</v>
      </c>
    </row>
    <row r="29" ht="15.75" customHeight="1">
      <c r="A29" s="6" t="s">
        <v>29</v>
      </c>
      <c r="B29" s="7">
        <v>47413.479</v>
      </c>
      <c r="C29" s="8">
        <f>IFERROR(__xludf.DUMMYFUNCTION("+B29/B$39"),0.0034983572850270464)</f>
        <v>0.003498357285</v>
      </c>
      <c r="D29" s="9">
        <v>8.92</v>
      </c>
      <c r="E29" s="9">
        <v>422928.233</v>
      </c>
      <c r="F29" s="8">
        <f>IFERROR(__xludf.DUMMYFUNCTION("+E29/E$39"),0.003400977257048147)</f>
        <v>0.003400977257</v>
      </c>
    </row>
    <row r="30" ht="15.75" customHeight="1">
      <c r="A30" s="6" t="s">
        <v>30</v>
      </c>
      <c r="B30" s="7">
        <v>46869.911</v>
      </c>
      <c r="C30" s="8">
        <f>IFERROR(__xludf.DUMMYFUNCTION("+B30/B$39"),0.003458250650525335)</f>
        <v>0.003458250651</v>
      </c>
      <c r="D30" s="9">
        <v>9.06</v>
      </c>
      <c r="E30" s="9">
        <v>424641.394</v>
      </c>
      <c r="F30" s="8">
        <f>IFERROR(__xludf.DUMMYFUNCTION("+E30/E$39"),0.0034147536407086385)</f>
        <v>0.003414753641</v>
      </c>
    </row>
    <row r="31" ht="15.75" customHeight="1">
      <c r="A31" s="6" t="s">
        <v>31</v>
      </c>
      <c r="B31" s="7">
        <v>40213.45</v>
      </c>
      <c r="C31" s="8">
        <f>IFERROR(__xludf.DUMMYFUNCTION("+B31/B$39"),0.0029671101705818904)</f>
        <v>0.002967110171</v>
      </c>
      <c r="D31" s="9">
        <v>8.84</v>
      </c>
      <c r="E31" s="9">
        <v>355486.898</v>
      </c>
      <c r="F31" s="8">
        <f>IFERROR(__xludf.DUMMYFUNCTION("+E31/E$39"),0.002858647782155972)</f>
        <v>0.002858647782</v>
      </c>
    </row>
    <row r="32" ht="15.75" customHeight="1">
      <c r="A32" s="6" t="s">
        <v>32</v>
      </c>
      <c r="B32" s="7">
        <v>35987.908</v>
      </c>
      <c r="C32" s="8">
        <f>IFERROR(__xludf.DUMMYFUNCTION("+B32/B$39"),0.002655332677120849)</f>
        <v>0.002655332677</v>
      </c>
      <c r="D32" s="9">
        <v>9.13</v>
      </c>
      <c r="E32" s="9">
        <v>328569.6</v>
      </c>
      <c r="F32" s="8">
        <f>IFERROR(__xludf.DUMMYFUNCTION("+E32/E$39"),0.0026421923384750876)</f>
        <v>0.002642192338</v>
      </c>
    </row>
    <row r="33" ht="15.75" customHeight="1">
      <c r="A33" s="6" t="s">
        <v>33</v>
      </c>
      <c r="B33" s="7">
        <v>22357.499</v>
      </c>
      <c r="C33" s="8">
        <f>IFERROR(__xludf.DUMMYFUNCTION("+B33/B$39"),0.0016496262487221177)</f>
        <v>0.001649626249</v>
      </c>
      <c r="D33" s="9">
        <v>9.57</v>
      </c>
      <c r="E33" s="9">
        <v>213911.539</v>
      </c>
      <c r="F33" s="8">
        <f>IFERROR(__xludf.DUMMYFUNCTION("+E33/E$39"),0.0017201695758135107)</f>
        <v>0.001720169576</v>
      </c>
    </row>
    <row r="34" ht="15.75" customHeight="1">
      <c r="A34" s="6" t="s">
        <v>34</v>
      </c>
      <c r="B34" s="7">
        <v>22016.083</v>
      </c>
      <c r="C34" s="8">
        <f>IFERROR(__xludf.DUMMYFUNCTION("+B34/B$39"),0.001624435202293637)</f>
        <v>0.001624435202</v>
      </c>
      <c r="D34" s="9">
        <v>8.53</v>
      </c>
      <c r="E34" s="9">
        <v>187797.188</v>
      </c>
      <c r="F34" s="8">
        <f>IFERROR(__xludf.DUMMYFUNCTION("+E34/E$39"),0.001510171030188933)</f>
        <v>0.00151017103</v>
      </c>
    </row>
    <row r="35" ht="15.75" customHeight="1">
      <c r="A35" s="6" t="s">
        <v>35</v>
      </c>
      <c r="B35" s="7">
        <v>16962.319</v>
      </c>
      <c r="C35" s="8">
        <f>IFERROR(__xludf.DUMMYFUNCTION("+B35/B$39"),0.001251548156687736)</f>
        <v>0.001251548157</v>
      </c>
      <c r="D35" s="9">
        <v>9.96</v>
      </c>
      <c r="E35" s="9">
        <v>168918.74</v>
      </c>
      <c r="F35" s="8">
        <f>IFERROR(__xludf.DUMMYFUNCTION("+E35/E$39"),0.0013583599963382653)</f>
        <v>0.001358359996</v>
      </c>
    </row>
    <row r="36" ht="15.75" customHeight="1">
      <c r="A36" s="6" t="s">
        <v>36</v>
      </c>
      <c r="B36" s="7">
        <v>11383.438</v>
      </c>
      <c r="C36" s="8">
        <f>IFERROR(__xludf.DUMMYFUNCTION("+B36/B$39"),8.399158656118382E-4)</f>
        <v>0.0008399158656</v>
      </c>
      <c r="D36" s="9">
        <v>9.85</v>
      </c>
      <c r="E36" s="9">
        <v>112126.864</v>
      </c>
      <c r="F36" s="8">
        <f>IFERROR(__xludf.DUMMYFUNCTION("+E36/E$39"),9.01668142755867E-4)</f>
        <v>0.0009016681428</v>
      </c>
    </row>
    <row r="37" ht="15.75" customHeight="1">
      <c r="A37" s="6" t="s">
        <v>37</v>
      </c>
      <c r="B37" s="7">
        <v>6644.124</v>
      </c>
      <c r="C37" s="8">
        <f>IFERROR(__xludf.DUMMYFUNCTION("+B37/B$39"),4.902302064360862E-4)</f>
        <v>0.0004902302064</v>
      </c>
      <c r="D37" s="9">
        <v>8.45</v>
      </c>
      <c r="E37" s="9">
        <v>56142.848</v>
      </c>
      <c r="F37" s="8">
        <f>IFERROR(__xludf.DUMMYFUNCTION("+E37/E$39"),4.5147269511778144E-4)</f>
        <v>0.0004514726951</v>
      </c>
    </row>
    <row r="38" ht="15.75" customHeight="1">
      <c r="A38" s="6" t="s">
        <v>38</v>
      </c>
      <c r="B38" s="7">
        <v>2306.114</v>
      </c>
      <c r="C38" s="8">
        <f>IFERROR(__xludf.DUMMYFUNCTION("+B38/B$39"),1.701543713340011E-4)</f>
        <v>0.0001701543713</v>
      </c>
      <c r="D38" s="9">
        <v>8.93</v>
      </c>
      <c r="E38" s="9">
        <v>20593.598</v>
      </c>
      <c r="F38" s="8">
        <f>IFERROR(__xludf.DUMMYFUNCTION("+E38/E$39"),1.656034120540546E-4)</f>
        <v>0.0001656034121</v>
      </c>
    </row>
    <row r="39" ht="15.75" customHeight="1">
      <c r="A39" s="10" t="s">
        <v>39</v>
      </c>
      <c r="B39" s="11">
        <v>1.355306938E7</v>
      </c>
      <c r="C39" s="12">
        <f>SUM(C7:C38)</f>
        <v>1</v>
      </c>
      <c r="D39" s="13">
        <v>9.18</v>
      </c>
      <c r="E39" s="13">
        <v>1.24354913613E8</v>
      </c>
      <c r="F39" s="12">
        <f>SUM(F7:F38)</f>
        <v>1</v>
      </c>
    </row>
    <row r="40" ht="15.75" customHeight="1">
      <c r="A40" s="14" t="s">
        <v>40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251968503937" footer="0.0" header="0.0" left="0.7480314960629921" right="0.7480314960629921" top="0.984251968503937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14"/>
    <col customWidth="1" min="2" max="2" width="13.14"/>
    <col customWidth="1" min="3" max="3" width="14.14"/>
    <col customWidth="1" min="4" max="4" width="18.43"/>
    <col customWidth="1" min="5" max="13" width="10.71"/>
    <col customWidth="1" min="14" max="14" width="20.14"/>
    <col customWidth="1" min="15" max="16" width="16.14"/>
    <col customWidth="1" min="17" max="17" width="14.29"/>
    <col customWidth="1" min="18" max="18" width="15.43"/>
    <col customWidth="1" min="19" max="19" width="20.14"/>
    <col customWidth="1" min="20" max="23" width="10.71"/>
  </cols>
  <sheetData>
    <row r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>
      <c r="A2" s="2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>
      <c r="A3" s="2" t="s">
        <v>1</v>
      </c>
      <c r="B3" s="16"/>
      <c r="C3" s="16"/>
      <c r="D3" s="16"/>
      <c r="E3" s="16"/>
      <c r="F3" s="17">
        <v>2023.0</v>
      </c>
      <c r="J3" s="16"/>
      <c r="K3" s="17">
        <v>2022.0</v>
      </c>
      <c r="O3" s="16"/>
      <c r="P3" s="16"/>
      <c r="Q3" s="16"/>
      <c r="R3" s="18">
        <v>2021.0</v>
      </c>
      <c r="S3" s="16"/>
      <c r="T3" s="16"/>
      <c r="U3" s="16"/>
      <c r="V3" s="16"/>
      <c r="W3" s="16"/>
    </row>
    <row r="4">
      <c r="A4" s="2">
        <v>2024.0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>
      <c r="A5" s="16"/>
      <c r="B5" s="19">
        <v>2024.0</v>
      </c>
      <c r="C5" s="20"/>
      <c r="D5" s="21"/>
      <c r="E5" s="16"/>
      <c r="F5" s="16"/>
      <c r="G5" s="22">
        <v>2023.0</v>
      </c>
      <c r="H5" s="20"/>
      <c r="I5" s="21"/>
      <c r="J5" s="16"/>
      <c r="K5" s="16"/>
      <c r="L5" s="22">
        <v>2022.0</v>
      </c>
      <c r="M5" s="20"/>
      <c r="N5" s="21"/>
      <c r="O5" s="16"/>
      <c r="P5" s="16"/>
      <c r="Q5" s="22">
        <v>2021.0</v>
      </c>
      <c r="R5" s="20"/>
      <c r="S5" s="21"/>
      <c r="T5" s="16"/>
      <c r="U5" s="16"/>
      <c r="V5" s="16"/>
      <c r="W5" s="16"/>
    </row>
    <row r="6">
      <c r="A6" s="23" t="s">
        <v>41</v>
      </c>
      <c r="B6" s="23" t="s">
        <v>42</v>
      </c>
      <c r="C6" s="23" t="s">
        <v>43</v>
      </c>
      <c r="D6" s="23" t="s">
        <v>44</v>
      </c>
      <c r="E6" s="16"/>
      <c r="F6" s="23" t="s">
        <v>41</v>
      </c>
      <c r="G6" s="23" t="s">
        <v>42</v>
      </c>
      <c r="H6" s="23" t="s">
        <v>43</v>
      </c>
      <c r="I6" s="23" t="s">
        <v>44</v>
      </c>
      <c r="J6" s="16"/>
      <c r="K6" s="23" t="s">
        <v>41</v>
      </c>
      <c r="L6" s="23" t="s">
        <v>42</v>
      </c>
      <c r="M6" s="23" t="s">
        <v>43</v>
      </c>
      <c r="N6" s="23" t="s">
        <v>44</v>
      </c>
      <c r="O6" s="24"/>
      <c r="P6" s="23" t="s">
        <v>41</v>
      </c>
      <c r="Q6" s="23" t="s">
        <v>42</v>
      </c>
      <c r="R6" s="23" t="s">
        <v>43</v>
      </c>
      <c r="S6" s="23" t="s">
        <v>44</v>
      </c>
      <c r="T6" s="16"/>
      <c r="U6" s="16"/>
      <c r="V6" s="16"/>
      <c r="W6" s="16"/>
    </row>
    <row r="7">
      <c r="A7" s="25"/>
      <c r="B7" s="26" t="s">
        <v>45</v>
      </c>
      <c r="C7" s="26" t="s">
        <v>46</v>
      </c>
      <c r="D7" s="26" t="s">
        <v>47</v>
      </c>
      <c r="E7" s="16"/>
      <c r="F7" s="25"/>
      <c r="G7" s="26" t="s">
        <v>45</v>
      </c>
      <c r="H7" s="26" t="s">
        <v>46</v>
      </c>
      <c r="I7" s="26" t="s">
        <v>47</v>
      </c>
      <c r="J7" s="16"/>
      <c r="K7" s="25"/>
      <c r="L7" s="26" t="s">
        <v>45</v>
      </c>
      <c r="M7" s="26" t="s">
        <v>46</v>
      </c>
      <c r="N7" s="26" t="s">
        <v>47</v>
      </c>
      <c r="O7" s="24"/>
      <c r="P7" s="25"/>
      <c r="Q7" s="26" t="s">
        <v>45</v>
      </c>
      <c r="R7" s="26" t="s">
        <v>46</v>
      </c>
      <c r="S7" s="26" t="s">
        <v>47</v>
      </c>
      <c r="T7" s="16"/>
      <c r="U7" s="16"/>
      <c r="V7" s="27"/>
      <c r="W7" s="27"/>
    </row>
    <row r="8">
      <c r="A8" s="28" t="s">
        <v>48</v>
      </c>
      <c r="B8" s="29">
        <v>2024.0</v>
      </c>
      <c r="C8" s="30"/>
      <c r="D8" s="30"/>
      <c r="E8" s="16"/>
      <c r="F8" s="31"/>
      <c r="G8" s="29">
        <v>2023.0</v>
      </c>
      <c r="H8" s="30"/>
      <c r="I8" s="30"/>
      <c r="J8" s="16"/>
      <c r="K8" s="31"/>
      <c r="L8" s="29">
        <v>2022.0</v>
      </c>
      <c r="M8" s="30"/>
      <c r="N8" s="30"/>
      <c r="O8" s="32"/>
      <c r="P8" s="31"/>
      <c r="Q8" s="29">
        <v>2021.0</v>
      </c>
      <c r="R8" s="30"/>
      <c r="S8" s="30"/>
      <c r="T8" s="16"/>
      <c r="U8" s="16"/>
      <c r="V8" s="27"/>
      <c r="W8" s="27"/>
    </row>
    <row r="9">
      <c r="A9" s="31" t="s">
        <v>49</v>
      </c>
      <c r="B9" s="33">
        <v>25.826</v>
      </c>
      <c r="C9" s="33">
        <v>8.89</v>
      </c>
      <c r="D9" s="33">
        <v>229.623</v>
      </c>
      <c r="E9" s="16"/>
      <c r="F9" s="31" t="s">
        <v>49</v>
      </c>
      <c r="G9" s="33">
        <v>25.116</v>
      </c>
      <c r="H9" s="33">
        <v>8.48</v>
      </c>
      <c r="I9" s="33">
        <v>212.932</v>
      </c>
      <c r="J9" s="16"/>
      <c r="K9" s="31" t="s">
        <v>49</v>
      </c>
      <c r="L9" s="33">
        <v>24.4</v>
      </c>
      <c r="M9" s="33">
        <v>8.19</v>
      </c>
      <c r="N9" s="33">
        <v>199.832</v>
      </c>
      <c r="O9" s="32"/>
      <c r="P9" s="31" t="s">
        <v>49</v>
      </c>
      <c r="Q9" s="33">
        <v>22.747</v>
      </c>
      <c r="R9" s="33">
        <v>6.9</v>
      </c>
      <c r="S9" s="33">
        <v>157.015</v>
      </c>
      <c r="T9" s="16"/>
      <c r="U9" s="16"/>
      <c r="V9" s="27"/>
      <c r="W9" s="27"/>
    </row>
    <row r="10">
      <c r="A10" s="31" t="s">
        <v>50</v>
      </c>
      <c r="B10" s="33">
        <v>98.285</v>
      </c>
      <c r="C10" s="33">
        <v>8.86</v>
      </c>
      <c r="D10" s="33">
        <v>870.493</v>
      </c>
      <c r="E10" s="16"/>
      <c r="F10" s="31" t="s">
        <v>50</v>
      </c>
      <c r="G10" s="33">
        <v>96.918</v>
      </c>
      <c r="H10" s="33">
        <v>8.36</v>
      </c>
      <c r="I10" s="33">
        <v>810.431</v>
      </c>
      <c r="J10" s="16"/>
      <c r="K10" s="31" t="s">
        <v>50</v>
      </c>
      <c r="L10" s="33">
        <v>94.17</v>
      </c>
      <c r="M10" s="33">
        <v>8.14</v>
      </c>
      <c r="N10" s="33">
        <v>767.004</v>
      </c>
      <c r="O10" s="32"/>
      <c r="P10" s="31" t="s">
        <v>50</v>
      </c>
      <c r="Q10" s="33">
        <v>90.71</v>
      </c>
      <c r="R10" s="33">
        <v>7.08</v>
      </c>
      <c r="S10" s="33">
        <v>642.35</v>
      </c>
      <c r="T10" s="16"/>
      <c r="U10" s="16"/>
      <c r="V10" s="27"/>
      <c r="W10" s="27"/>
    </row>
    <row r="11">
      <c r="A11" s="31" t="s">
        <v>51</v>
      </c>
      <c r="B11" s="33">
        <v>75.455</v>
      </c>
      <c r="C11" s="33">
        <v>8.86</v>
      </c>
      <c r="D11" s="33">
        <v>668.569</v>
      </c>
      <c r="E11" s="16"/>
      <c r="F11" s="31" t="s">
        <v>51</v>
      </c>
      <c r="G11" s="33">
        <v>73.674</v>
      </c>
      <c r="H11" s="33">
        <v>8.37</v>
      </c>
      <c r="I11" s="33">
        <v>616.772</v>
      </c>
      <c r="J11" s="16"/>
      <c r="K11" s="31" t="s">
        <v>51</v>
      </c>
      <c r="L11" s="33">
        <v>67.59</v>
      </c>
      <c r="M11" s="33">
        <v>8.19</v>
      </c>
      <c r="N11" s="33">
        <v>553.304</v>
      </c>
      <c r="O11" s="32"/>
      <c r="P11" s="31" t="s">
        <v>51</v>
      </c>
      <c r="Q11" s="33">
        <v>61.84</v>
      </c>
      <c r="R11" s="33">
        <v>6.91</v>
      </c>
      <c r="S11" s="33">
        <v>427.227</v>
      </c>
      <c r="T11" s="16"/>
      <c r="U11" s="16"/>
      <c r="V11" s="27"/>
      <c r="W11" s="27"/>
    </row>
    <row r="12">
      <c r="A12" s="31" t="s">
        <v>52</v>
      </c>
      <c r="B12" s="33">
        <v>99.623</v>
      </c>
      <c r="C12" s="33">
        <v>9.24</v>
      </c>
      <c r="D12" s="33">
        <v>920.167</v>
      </c>
      <c r="E12" s="16"/>
      <c r="F12" s="31" t="s">
        <v>52</v>
      </c>
      <c r="G12" s="33">
        <v>97.258</v>
      </c>
      <c r="H12" s="33">
        <v>8.77</v>
      </c>
      <c r="I12" s="33">
        <v>852.563</v>
      </c>
      <c r="J12" s="16"/>
      <c r="K12" s="31" t="s">
        <v>52</v>
      </c>
      <c r="L12" s="33">
        <v>96.463</v>
      </c>
      <c r="M12" s="33">
        <v>8.26</v>
      </c>
      <c r="N12" s="33">
        <v>796.985</v>
      </c>
      <c r="O12" s="32"/>
      <c r="P12" s="31" t="s">
        <v>52</v>
      </c>
      <c r="Q12" s="33">
        <v>93.121</v>
      </c>
      <c r="R12" s="33">
        <v>8.09</v>
      </c>
      <c r="S12" s="33">
        <v>753.56</v>
      </c>
      <c r="T12" s="16"/>
      <c r="U12" s="16"/>
      <c r="V12" s="27"/>
      <c r="W12" s="27"/>
    </row>
    <row r="13">
      <c r="A13" s="31" t="s">
        <v>53</v>
      </c>
      <c r="B13" s="33">
        <v>208.804</v>
      </c>
      <c r="C13" s="33">
        <v>9.27</v>
      </c>
      <c r="D13" s="34">
        <v>1934.734</v>
      </c>
      <c r="E13" s="16"/>
      <c r="F13" s="31" t="s">
        <v>53</v>
      </c>
      <c r="G13" s="33">
        <v>203.619</v>
      </c>
      <c r="H13" s="33">
        <v>8.94</v>
      </c>
      <c r="I13" s="34">
        <v>1819.577</v>
      </c>
      <c r="J13" s="16"/>
      <c r="K13" s="31" t="s">
        <v>53</v>
      </c>
      <c r="L13" s="33">
        <v>203.457</v>
      </c>
      <c r="M13" s="33">
        <v>8.28</v>
      </c>
      <c r="N13" s="34">
        <v>1683.72</v>
      </c>
      <c r="O13" s="32"/>
      <c r="P13" s="31" t="s">
        <v>53</v>
      </c>
      <c r="Q13" s="33">
        <v>204.747</v>
      </c>
      <c r="R13" s="33">
        <v>8.1</v>
      </c>
      <c r="S13" s="34">
        <v>1658.31</v>
      </c>
      <c r="T13" s="16"/>
      <c r="U13" s="16"/>
      <c r="V13" s="27"/>
      <c r="W13" s="27"/>
    </row>
    <row r="14">
      <c r="A14" s="31" t="s">
        <v>54</v>
      </c>
      <c r="B14" s="33">
        <v>38.256</v>
      </c>
      <c r="C14" s="33">
        <v>8.75</v>
      </c>
      <c r="D14" s="33">
        <v>334.782</v>
      </c>
      <c r="E14" s="16"/>
      <c r="F14" s="31" t="s">
        <v>54</v>
      </c>
      <c r="G14" s="33">
        <v>37.167</v>
      </c>
      <c r="H14" s="33">
        <v>8.44</v>
      </c>
      <c r="I14" s="33">
        <v>313.814</v>
      </c>
      <c r="J14" s="16"/>
      <c r="K14" s="31" t="s">
        <v>54</v>
      </c>
      <c r="L14" s="33">
        <v>36.13</v>
      </c>
      <c r="M14" s="33">
        <v>8.18</v>
      </c>
      <c r="N14" s="33">
        <v>295.513</v>
      </c>
      <c r="O14" s="32"/>
      <c r="P14" s="31" t="s">
        <v>54</v>
      </c>
      <c r="Q14" s="33">
        <v>36.532</v>
      </c>
      <c r="R14" s="33">
        <v>6.9</v>
      </c>
      <c r="S14" s="33">
        <v>252.124</v>
      </c>
      <c r="T14" s="16"/>
      <c r="U14" s="16"/>
      <c r="V14" s="27"/>
      <c r="W14" s="27"/>
    </row>
    <row r="15">
      <c r="A15" s="31" t="s">
        <v>55</v>
      </c>
      <c r="B15" s="33">
        <v>511.142</v>
      </c>
      <c r="C15" s="33">
        <v>9.24</v>
      </c>
      <c r="D15" s="34">
        <v>4724.889</v>
      </c>
      <c r="E15" s="16"/>
      <c r="F15" s="31" t="s">
        <v>55</v>
      </c>
      <c r="G15" s="33">
        <v>508.488</v>
      </c>
      <c r="H15" s="33">
        <v>8.79</v>
      </c>
      <c r="I15" s="34">
        <v>4470.919</v>
      </c>
      <c r="J15" s="16"/>
      <c r="K15" s="31" t="s">
        <v>55</v>
      </c>
      <c r="L15" s="33">
        <v>506.791</v>
      </c>
      <c r="M15" s="33">
        <v>8.19</v>
      </c>
      <c r="N15" s="34">
        <v>4148.29</v>
      </c>
      <c r="O15" s="32"/>
      <c r="P15" s="31" t="s">
        <v>55</v>
      </c>
      <c r="Q15" s="33">
        <v>506.01</v>
      </c>
      <c r="R15" s="33">
        <v>8.11</v>
      </c>
      <c r="S15" s="34">
        <v>4102.61</v>
      </c>
      <c r="T15" s="16"/>
      <c r="U15" s="16"/>
      <c r="V15" s="27"/>
      <c r="W15" s="27"/>
    </row>
    <row r="16">
      <c r="A16" s="31" t="s">
        <v>56</v>
      </c>
      <c r="B16" s="33">
        <v>19.838</v>
      </c>
      <c r="C16" s="33">
        <v>8.85</v>
      </c>
      <c r="D16" s="33">
        <v>175.627</v>
      </c>
      <c r="E16" s="16"/>
      <c r="F16" s="31" t="s">
        <v>56</v>
      </c>
      <c r="G16" s="33">
        <v>19.648</v>
      </c>
      <c r="H16" s="33">
        <v>8.37</v>
      </c>
      <c r="I16" s="33">
        <v>164.531</v>
      </c>
      <c r="J16" s="16"/>
      <c r="K16" s="31" t="s">
        <v>56</v>
      </c>
      <c r="L16" s="33">
        <v>19.13</v>
      </c>
      <c r="M16" s="33">
        <v>8.13</v>
      </c>
      <c r="N16" s="33">
        <v>155.53</v>
      </c>
      <c r="O16" s="32"/>
      <c r="P16" s="31" t="s">
        <v>56</v>
      </c>
      <c r="Q16" s="33">
        <v>18.402</v>
      </c>
      <c r="R16" s="33">
        <v>6.87</v>
      </c>
      <c r="S16" s="33">
        <v>126.387</v>
      </c>
      <c r="T16" s="16"/>
      <c r="U16" s="16"/>
      <c r="V16" s="27"/>
      <c r="W16" s="27"/>
    </row>
    <row r="17">
      <c r="A17" s="31" t="s">
        <v>57</v>
      </c>
      <c r="B17" s="33">
        <v>404.165</v>
      </c>
      <c r="C17" s="33">
        <v>8.68</v>
      </c>
      <c r="D17" s="34">
        <v>3508.646</v>
      </c>
      <c r="E17" s="16"/>
      <c r="F17" s="31" t="s">
        <v>57</v>
      </c>
      <c r="G17" s="33">
        <v>398.609</v>
      </c>
      <c r="H17" s="33">
        <v>8.38</v>
      </c>
      <c r="I17" s="34">
        <v>3340.727</v>
      </c>
      <c r="J17" s="16"/>
      <c r="K17" s="31" t="s">
        <v>57</v>
      </c>
      <c r="L17" s="33">
        <v>393.35</v>
      </c>
      <c r="M17" s="33">
        <v>8.16</v>
      </c>
      <c r="N17" s="34">
        <v>3210.27</v>
      </c>
      <c r="O17" s="32"/>
      <c r="P17" s="31" t="s">
        <v>57</v>
      </c>
      <c r="Q17" s="33">
        <v>383.05</v>
      </c>
      <c r="R17" s="33">
        <v>6.88</v>
      </c>
      <c r="S17" s="34">
        <v>2635.65</v>
      </c>
      <c r="T17" s="16"/>
      <c r="U17" s="16"/>
      <c r="V17" s="27"/>
      <c r="W17" s="27"/>
    </row>
    <row r="18">
      <c r="A18" s="31" t="s">
        <v>58</v>
      </c>
      <c r="B18" s="33">
        <v>40.376</v>
      </c>
      <c r="C18" s="33">
        <v>8.94</v>
      </c>
      <c r="D18" s="33">
        <v>360.83</v>
      </c>
      <c r="E18" s="16"/>
      <c r="F18" s="31" t="s">
        <v>58</v>
      </c>
      <c r="G18" s="33">
        <v>39.553</v>
      </c>
      <c r="H18" s="33">
        <v>8.43</v>
      </c>
      <c r="I18" s="33">
        <v>333.407</v>
      </c>
      <c r="J18" s="16"/>
      <c r="K18" s="31" t="s">
        <v>58</v>
      </c>
      <c r="L18" s="33">
        <v>39.67</v>
      </c>
      <c r="M18" s="33">
        <v>8.15</v>
      </c>
      <c r="N18" s="33">
        <v>323.226</v>
      </c>
      <c r="O18" s="32"/>
      <c r="P18" s="31" t="s">
        <v>58</v>
      </c>
      <c r="Q18" s="33">
        <v>38.8</v>
      </c>
      <c r="R18" s="33">
        <v>7.09</v>
      </c>
      <c r="S18" s="33">
        <v>275.22</v>
      </c>
      <c r="T18" s="16"/>
      <c r="U18" s="16"/>
      <c r="V18" s="27"/>
      <c r="W18" s="27"/>
    </row>
    <row r="19">
      <c r="A19" s="31" t="s">
        <v>59</v>
      </c>
      <c r="B19" s="33">
        <v>420.581</v>
      </c>
      <c r="C19" s="33">
        <v>8.75</v>
      </c>
      <c r="D19" s="34">
        <v>3681.062</v>
      </c>
      <c r="E19" s="16"/>
      <c r="F19" s="31" t="s">
        <v>59</v>
      </c>
      <c r="G19" s="33">
        <v>409.346</v>
      </c>
      <c r="H19" s="33">
        <v>8.39</v>
      </c>
      <c r="I19" s="34">
        <v>3436.428</v>
      </c>
      <c r="J19" s="16"/>
      <c r="K19" s="31" t="s">
        <v>59</v>
      </c>
      <c r="L19" s="33">
        <v>391.45</v>
      </c>
      <c r="M19" s="33">
        <v>8.11</v>
      </c>
      <c r="N19" s="34">
        <v>3176.14</v>
      </c>
      <c r="O19" s="32"/>
      <c r="P19" s="31" t="s">
        <v>59</v>
      </c>
      <c r="Q19" s="33">
        <v>361.844</v>
      </c>
      <c r="R19" s="33">
        <v>6.92</v>
      </c>
      <c r="S19" s="34">
        <v>2503.77</v>
      </c>
      <c r="T19" s="16"/>
      <c r="U19" s="16"/>
      <c r="V19" s="27"/>
      <c r="W19" s="27"/>
    </row>
    <row r="20">
      <c r="A20" s="31" t="s">
        <v>60</v>
      </c>
      <c r="B20" s="33">
        <v>363.763</v>
      </c>
      <c r="C20" s="33">
        <v>8.75</v>
      </c>
      <c r="D20" s="34">
        <v>3184.176</v>
      </c>
      <c r="E20" s="16"/>
      <c r="F20" s="31" t="s">
        <v>60</v>
      </c>
      <c r="G20" s="33">
        <v>358.058</v>
      </c>
      <c r="H20" s="33">
        <v>8.44</v>
      </c>
      <c r="I20" s="34">
        <v>3022.735</v>
      </c>
      <c r="J20" s="16"/>
      <c r="K20" s="31" t="s">
        <v>60</v>
      </c>
      <c r="L20" s="33">
        <v>348.92</v>
      </c>
      <c r="M20" s="33">
        <v>8.01</v>
      </c>
      <c r="N20" s="34">
        <v>2795.53</v>
      </c>
      <c r="O20" s="32"/>
      <c r="P20" s="31" t="s">
        <v>60</v>
      </c>
      <c r="Q20" s="33">
        <v>339.29</v>
      </c>
      <c r="R20" s="33">
        <v>7.04</v>
      </c>
      <c r="S20" s="34">
        <v>2388.81</v>
      </c>
      <c r="T20" s="16"/>
      <c r="U20" s="16"/>
      <c r="V20" s="27"/>
      <c r="W20" s="27"/>
    </row>
    <row r="21" ht="15.75" customHeight="1">
      <c r="A21" s="35" t="s">
        <v>39</v>
      </c>
      <c r="B21" s="36">
        <v>2306.114</v>
      </c>
      <c r="C21" s="37">
        <v>8.93</v>
      </c>
      <c r="D21" s="36">
        <v>20593.598</v>
      </c>
      <c r="E21" s="16"/>
      <c r="F21" s="35" t="s">
        <v>39</v>
      </c>
      <c r="G21" s="36">
        <v>2267.454</v>
      </c>
      <c r="H21" s="37">
        <v>8.55</v>
      </c>
      <c r="I21" s="36">
        <v>19394.836</v>
      </c>
      <c r="J21" s="16"/>
      <c r="K21" s="35" t="s">
        <v>39</v>
      </c>
      <c r="L21" s="36">
        <v>2221.52</v>
      </c>
      <c r="M21" s="37">
        <v>8.15</v>
      </c>
      <c r="N21" s="36">
        <v>18105.33</v>
      </c>
      <c r="O21" s="24"/>
      <c r="P21" s="35" t="s">
        <v>39</v>
      </c>
      <c r="Q21" s="36">
        <v>2480.69</v>
      </c>
      <c r="R21" s="37">
        <v>7.47</v>
      </c>
      <c r="S21" s="36">
        <v>18525.79</v>
      </c>
      <c r="T21" s="16"/>
      <c r="U21" s="16"/>
      <c r="V21" s="27"/>
      <c r="W21" s="27"/>
    </row>
    <row r="22" ht="15.75" customHeight="1">
      <c r="A22" s="38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</row>
  </sheetData>
  <mergeCells count="10">
    <mergeCell ref="Q5:S5"/>
    <mergeCell ref="F3:I3"/>
    <mergeCell ref="G5:I5"/>
    <mergeCell ref="K3:N3"/>
    <mergeCell ref="L5:N5"/>
    <mergeCell ref="A6:A7"/>
    <mergeCell ref="B5:D5"/>
    <mergeCell ref="P6:P7"/>
    <mergeCell ref="K6:K7"/>
    <mergeCell ref="F6:F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2025-07-16T22:12:50Z</dcterms:created>
  <dc:creator>Abigail Estrada Estrada</dc:creator>
</cp:coreProperties>
</file>